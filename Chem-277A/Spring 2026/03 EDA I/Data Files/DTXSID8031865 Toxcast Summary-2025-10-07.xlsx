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MMH_user\Desktop\Berkeley\MSSE\Chem 277A Spring 2026\03 EDA I\Data Files\"/>
    </mc:Choice>
  </mc:AlternateContent>
  <xr:revisionPtr revIDLastSave="0" documentId="13_ncr:1_{0D54EAA1-308C-4BEB-BD71-703A44C5CE12}" xr6:coauthVersionLast="47" xr6:coauthVersionMax="47" xr10:uidLastSave="{00000000-0000-0000-0000-000000000000}"/>
  <bookViews>
    <workbookView xWindow="-110" yWindow="-110" windowWidth="19420" windowHeight="10300" xr2:uid="{00000000-000D-0000-FFFF-FFFF00000000}"/>
  </bookViews>
  <sheets>
    <sheet name="ag-grid"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98" i="1" l="1"/>
  <c r="I97" i="1"/>
  <c r="I96" i="1"/>
  <c r="I95" i="1"/>
  <c r="I92" i="1"/>
  <c r="I91" i="1"/>
  <c r="I90" i="1"/>
  <c r="I89" i="1"/>
  <c r="I88" i="1"/>
  <c r="I87" i="1"/>
  <c r="I86" i="1"/>
  <c r="I85" i="1"/>
  <c r="I84" i="1"/>
  <c r="I78" i="1"/>
  <c r="I77" i="1"/>
  <c r="I76" i="1"/>
  <c r="I75" i="1"/>
  <c r="I74" i="1"/>
  <c r="I73" i="1"/>
  <c r="I72" i="1"/>
  <c r="I71" i="1"/>
  <c r="I70" i="1"/>
  <c r="I69" i="1"/>
  <c r="I67" i="1"/>
  <c r="I63" i="1"/>
  <c r="I61" i="1"/>
  <c r="I60" i="1"/>
  <c r="I58" i="1"/>
  <c r="I57" i="1"/>
  <c r="I56" i="1"/>
  <c r="I53" i="1"/>
  <c r="I52" i="1"/>
  <c r="I51" i="1"/>
  <c r="I50" i="1"/>
  <c r="I49" i="1"/>
  <c r="I48" i="1"/>
  <c r="I47" i="1"/>
  <c r="I45" i="1"/>
  <c r="I44" i="1"/>
  <c r="I41" i="1"/>
  <c r="I40" i="1"/>
  <c r="I39" i="1"/>
  <c r="I35" i="1"/>
  <c r="I34" i="1"/>
  <c r="I33" i="1"/>
  <c r="I32" i="1"/>
  <c r="I31" i="1"/>
  <c r="I29" i="1"/>
  <c r="I28" i="1"/>
  <c r="I27" i="1"/>
  <c r="I26" i="1"/>
  <c r="I25" i="1"/>
  <c r="I24" i="1"/>
  <c r="I23" i="1"/>
  <c r="I22" i="1"/>
  <c r="I21" i="1"/>
  <c r="I20" i="1"/>
  <c r="I19" i="1"/>
  <c r="I18" i="1"/>
  <c r="I17" i="1"/>
  <c r="I16" i="1"/>
  <c r="I15" i="1"/>
  <c r="I14" i="1"/>
  <c r="I13" i="1"/>
  <c r="I12" i="1"/>
  <c r="I11" i="1"/>
  <c r="I10" i="1"/>
  <c r="I9" i="1"/>
  <c r="I8" i="1"/>
  <c r="I6" i="1"/>
  <c r="I5" i="1"/>
  <c r="I4" i="1"/>
  <c r="I3" i="1"/>
  <c r="I2" i="1"/>
</calcChain>
</file>

<file path=xl/sharedStrings.xml><?xml version="1.0" encoding="utf-8"?>
<sst xmlns="http://schemas.openxmlformats.org/spreadsheetml/2006/main" count="3263" uniqueCount="985">
  <si>
    <t>NAME</t>
  </si>
  <si>
    <t>ASSAY_LISTS</t>
  </si>
  <si>
    <t>ASSAY_ENDPOINT_DESCRIPTION</t>
  </si>
  <si>
    <t>ASSAY_COMPONENT_NAME</t>
  </si>
  <si>
    <t>ASSAY_COMPONENT_DESCRIPTION</t>
  </si>
  <si>
    <t>DESCRIPTION</t>
  </si>
  <si>
    <t>SEQAPASS</t>
  </si>
  <si>
    <t>GENE_SYMBOL</t>
  </si>
  <si>
    <t>GENE_URL</t>
  </si>
  <si>
    <t>GENE_NAME</t>
  </si>
  <si>
    <t>AOP</t>
  </si>
  <si>
    <t>EVENT</t>
  </si>
  <si>
    <t>HIT_CALL</t>
  </si>
  <si>
    <t>CONTINUOUS_HIT_CALL</t>
  </si>
  <si>
    <t>TOP</t>
  </si>
  <si>
    <t>SCALED_TOP</t>
  </si>
  <si>
    <t>AC50</t>
  </si>
  <si>
    <t>LOGAC50</t>
  </si>
  <si>
    <t>CUTOFF</t>
  </si>
  <si>
    <t>ACC</t>
  </si>
  <si>
    <t>AC10</t>
  </si>
  <si>
    <t>BMR</t>
  </si>
  <si>
    <t>BMD</t>
  </si>
  <si>
    <t>BMAD</t>
  </si>
  <si>
    <t>MAX_MED_CONC</t>
  </si>
  <si>
    <t>NORMALIZED_DATA_TYPE</t>
  </si>
  <si>
    <t>ASSAY_SOURCE</t>
  </si>
  <si>
    <t>ASSAY_NAME</t>
  </si>
  <si>
    <t>ASSAY_DESC</t>
  </si>
  <si>
    <t>ASSAY_FUNCTION_TYPE</t>
  </si>
  <si>
    <t>FLAGS</t>
  </si>
  <si>
    <t>STOCK_CONC</t>
  </si>
  <si>
    <t>STOCK_CONC_UNITS</t>
  </si>
  <si>
    <t>ORGANISM</t>
  </si>
  <si>
    <t>CELL_LINE</t>
  </si>
  <si>
    <t>CELL_FORMAT</t>
  </si>
  <si>
    <t>CONCENTRATION</t>
  </si>
  <si>
    <t>RESPONSE</t>
  </si>
  <si>
    <t>CYTOTOX_BURST</t>
  </si>
  <si>
    <t>INTENDED_TARGET_FAMILY</t>
  </si>
  <si>
    <t>INTENDED_TARGET_TYPE</t>
  </si>
  <si>
    <t>INTENDED_TARGET_TYPE_SUB</t>
  </si>
  <si>
    <t>INTENDED_TARGET_FAMILY_SUB</t>
  </si>
  <si>
    <t>BIOLOGICAL_PROCESS_TARGET</t>
  </si>
  <si>
    <t>DETECTION_TECHNOLOGY_TYPE</t>
  </si>
  <si>
    <t>TISSUE</t>
  </si>
  <si>
    <t>SAMPLE_ID</t>
  </si>
  <si>
    <t>REPR</t>
  </si>
  <si>
    <t>LTEA_HepaRG_HMGCS2</t>
  </si>
  <si>
    <t xml:space="preserve"> -  </t>
  </si>
  <si>
    <t>Data from the assay component LTEA_HepaRG_HMGCS2 was analyzed into 1 endpoint. This assay endpoint, LTEA_HepaRG_HMGCS2,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lyase intended target family, where the subfamily is HMG-CoA synthase.</t>
  </si>
  <si>
    <t>LTEA_HepaRG_HMGCS2 is one of 102 assay component(s) measured in the LTEA HepaRG cell culture assay. It is a marker of Steatosis.</t>
  </si>
  <si>
    <t>NP_005509.1</t>
  </si>
  <si>
    <t>HMGCS2</t>
  </si>
  <si>
    <t>3-hydroxy-3-methylglutaryl-CoA synthase 2 (mitochondrial)</t>
  </si>
  <si>
    <t>-</t>
  </si>
  <si>
    <t>Active</t>
  </si>
  <si>
    <t>percent_activity</t>
  </si>
  <si>
    <t>LTEA</t>
  </si>
  <si>
    <t>Life Technologies, acquired by Thermo Fisher, is a Contract Research Organization (CRO) that provides transcriptomics and expression screening.</t>
  </si>
  <si>
    <t>reporter gene</t>
  </si>
  <si>
    <t/>
  </si>
  <si>
    <t>mM</t>
  </si>
  <si>
    <t>human</t>
  </si>
  <si>
    <t>HepaRG</t>
  </si>
  <si>
    <t>cell line</t>
  </si>
  <si>
    <t>1.0|0.03|100.0|0.03|10.0|30.0|0.1|10.0|3.0|0.1|3.0|0.3|1.0|0.3|30.0|100.0</t>
  </si>
  <si>
    <t>-0.0386232570397311|-0.7549988690638593|1.6020124787009957|-0.22943510530735628|1.0094747672216158|0.9094858102386687|-0.05577116707630124|0.13945374441607872|0.3533967306245117|0.049229153031862705|0.08317235784022771|-0.026631410798204396|-0.24052114751275527|0.18934762379565873|0.9153431295231127|0.41700402767361266</t>
  </si>
  <si>
    <t>lyase</t>
  </si>
  <si>
    <t>rna</t>
  </si>
  <si>
    <t>mRNA</t>
  </si>
  <si>
    <t>HMG-CoA synthase</t>
  </si>
  <si>
    <t>regulation of transcription factor activity</t>
  </si>
  <si>
    <t>Fluidigm qRT-PCR</t>
  </si>
  <si>
    <t>liver</t>
  </si>
  <si>
    <t>TX009159</t>
  </si>
  <si>
    <t>true</t>
  </si>
  <si>
    <t>LTEA_HepaRG_PDK4</t>
  </si>
  <si>
    <t>Data from the assay component LTEA_HepaRG_PDK4 was analyzed into 1 endpoint. This assay endpoint, LTEA_HepaRG_PDK4,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kinase intended target family, where the subfamily is serine/threonine kinase.</t>
  </si>
  <si>
    <t>LTEA_HepaRG_PDK4 is one of 102 assay component(s) measured in the LTEA HepaRG cell culture assay. It is a marker of Diseases associated with PDK4 includeÂ Platelet Glycoprotein Iv DeficiencyÂ andÂ Diabetes Mellitus, Noninsulin-Dependent.Â .</t>
  </si>
  <si>
    <t>NP_002603.1</t>
  </si>
  <si>
    <t>PDK4</t>
  </si>
  <si>
    <t>pyruvate dehydrogenase kinase, isozyme 4</t>
  </si>
  <si>
    <t>30.0|100.0|100.0|1.0|0.1|1.0|0.1|0.3|0.03|0.3|10.0|3.0|30.0|10.0|3.0|0.03</t>
  </si>
  <si>
    <t>2.0751272659583737|3.417134849254873|3.216036932160417|0.08410583001515004|0.019997595084099817|-0.07318282160992995|-0.04003667930513011|0.4172871873045998|0.1143803508174499|0.26903095938696|1.5549719514846199|0.27410871594001973|2.354496686925517|0.030870370541869807|-0.21906139226559018|-0.1556025574124602</t>
  </si>
  <si>
    <t>kinase</t>
  </si>
  <si>
    <t>serine/threonine kinase</t>
  </si>
  <si>
    <t>LTEA_HepaRG_UGT1A1</t>
  </si>
  <si>
    <t>Data from the assay component LTEA_HepaRG_UGT1A1 was analyzed into 1 endpoint. This assay endpoint, LTEA_HepaRG_UGT1A1,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transferase intended target family, where the subfamily is glucuronosyltransferase.</t>
  </si>
  <si>
    <t>LTEA_HepaRG_UGT1A1 is one of 102 assay component(s) measured in the LTEA HepaRG cell culture assay. It is a marker of Steatosis/NR mediated metabolism.</t>
  </si>
  <si>
    <t>NP_000454.1</t>
  </si>
  <si>
    <t>UGT1A1</t>
  </si>
  <si>
    <t>UDP glucuronosyltransferase 1 family, polypeptide A1</t>
  </si>
  <si>
    <t>100.0|30.0|0.3|30.0|1.0|0.3|0.1|0.03|10.0|10.0|1.0|0.1|0.03|3.0|3.0|100.0</t>
  </si>
  <si>
    <t>1.6958350456342948|0.7889495756013449|-0.38055630501207505|1.1557508729293948|-0.6077770631911252|0.465424392356685|0.009255868075924933|-1.0032966146136353|0.636551014041645|1.258606428723095|0.676985860530495|0.05008868548939471|-0.1959807953685253|0.07088324791534495|0.9349779305799348|0.22170926240574484</t>
  </si>
  <si>
    <t>transferase</t>
  </si>
  <si>
    <t>glucuronosyltransferase</t>
  </si>
  <si>
    <t>LTEA_HepaRG_XBP1</t>
  </si>
  <si>
    <t>Data from the assay component LTEA_HepaRG_XBP1 was analyzed into 1 endpoint. This assay endpoint, LTEA_HepaRG_XBP1,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dna binding intended target family, where the subfamily is basic leucine zipper.</t>
  </si>
  <si>
    <t>LTEA_HepaRG_XBP1 is one of 102 assay component(s) measured in the LTEA HepaRG cell culture assay. It is a marker of Diseases associated with XBP1 includeÂ Major Affective Disorder 7Â andÂ Bipolar Disorde.</t>
  </si>
  <si>
    <t>NP_005071.2</t>
  </si>
  <si>
    <t>XBP1</t>
  </si>
  <si>
    <t>X-box binding protein 1</t>
  </si>
  <si>
    <t>Bmd &gt; ac50, indication of high baseline variability</t>
  </si>
  <si>
    <t>0.3|0.1|3.0|0.3|0.03|100.0|3.0|10.0|30.0|10.0|1.0|0.03|30.0|1.0|100.0|0.1</t>
  </si>
  <si>
    <t>0.56113163216662|0.026551674226789945|-0.03397907774126008|0.023065466879379937|0.4286895654191598|1.4017091485840398|-0.3324679192160702|0.20778531568773984|0.7506468292714397|-0.46258686378571|0.49524138004106977|0.2057428393554699|0.3416289047019898|-0.13911349610291035|0.6861913344173898|-0.08827021848088012</t>
  </si>
  <si>
    <t>dna binding</t>
  </si>
  <si>
    <t>basic leucine zipper</t>
  </si>
  <si>
    <t>TOX21_RXR_BLA_Agonist_ratio</t>
  </si>
  <si>
    <t>Data from the assay component TOX21_RXR_BLA_Agonist_ratio was analyzed into 1 assay endpoint. This assay endpoint, TOX21_RXR_BLA_Agonist_ratio, was analyzed in the positive analysis fitting direction relative to DMSO as the negative control and baseline of activity. Using a type of inducible reporter, gain-of-signal activity can be used to understand changes in the reporter gene as they relate to the gene RXRA. Furthermore, this assay endpoint can be referred to as a primary readout, because this assay has produced multiple assay endpoints and this ratio serves a reporter gene function to understand target activity. To generalize the intended target to other relatable targets, this assay endpoint is annotated to the dna binding intended target family, where subfamily is NF-kappa B.</t>
  </si>
  <si>
    <t xml:space="preserve">TOX21_RXR_BLA_Agonist_ratio is an assay readout measuring reporter gene via receptor activity and designed using inducible reporter (beta lactamase induction) detected with GAL4 b-lactamase reporter gene. The signal is derived from the ratio of cleaved (ch2) to uncleaved (ch1) reporter gene substrate used as the measure of target activity. </t>
  </si>
  <si>
    <t>NP_002948.1</t>
  </si>
  <si>
    <t>RXRA</t>
  </si>
  <si>
    <t>retinoid X receptor, alpha</t>
  </si>
  <si>
    <t>TOX21</t>
  </si>
  <si>
    <t>Tox21 is an interagency agreement between the NIH, NTP, FDA and EPA. NIH Chemical Genomics Center (NCGC) is the primary screening facility running ultra high-throughput screening assays across a large interagency-developed chemical library.</t>
  </si>
  <si>
    <t>ratio</t>
  </si>
  <si>
    <t>Efficacy &lt; 50%</t>
  </si>
  <si>
    <t>HEK293T</t>
  </si>
  <si>
    <t>0.02|0.002|7.0|0.6|0.6|0.01|0.005|0.002|0.001|3.0|0.3|1.0|7.0|0.05|0.02|20.0|30.0|3.0|1.0|0.3|0.05|0.6|0.3|80.0|30.0|0.001|0.1|0.1|20.0|0.001|0.1|0.05|3.0|1.0|0.02|0.005|0.002|80.0|30.0|20.0|7.0|80.0|0.01|0.005|0.01</t>
  </si>
  <si>
    <t>0.0156082496|-1.0933432689|-0.9757658162|-0.9098428453|1.8657331437|0.146472455|0.4625568226|-0.5860519286|-0.8328903065|0.0935250181|0.0|1.9255521331|6.1934133309|0.0882768361|0.4640539165|17.4259621404|-5.2329176998|4.9010481179|-2.4890048715|-1.0928214658|1.4041734801|-1.0375859167|-0.5853105269|30.3236332651|18.662269888|3.6075691334|3.2839257541|-0.6583083152|-3.8270940447|-1.8169419974|0.6975576645|-3.0007575162|0.2545392838|0.1598917669|-2.2039967776|-5.251326155|0.4157943521|24.4644804648|18.861129672|17.7227994532|0.9744197154|-4.2215362984|0.9716139587|-2.2873664423|0.807750189</t>
  </si>
  <si>
    <t>pathway</t>
  </si>
  <si>
    <t>pathway-specified</t>
  </si>
  <si>
    <t>NF-kappa B</t>
  </si>
  <si>
    <t>GAL4 b-lactamase reporter gene</t>
  </si>
  <si>
    <t>kidney</t>
  </si>
  <si>
    <t>Tox21_300688</t>
  </si>
  <si>
    <t>TOX21_HRE_BLA_Agonist_viability</t>
  </si>
  <si>
    <t>Cytotoxicity Burst</t>
  </si>
  <si>
    <t>TOX21_HRE_BLA_Agonist_viability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</si>
  <si>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TOX21_HRE_BLA_Agonist_viability is an assay readout measuring cellular ATP content and detected with CellTiter-Glo Luciferase-coupled ATP quantitation.</t>
  </si>
  <si>
    <t>viability</t>
  </si>
  <si>
    <t>ME-180</t>
  </si>
  <si>
    <t>0.001|80.0|80.0|7.0|0.001|0.3|0.01|0.02|1.0|0.002|3.0|1.0|30.0|0.1|3.0|0.005|0.002|80.0|0.05|0.1|30.0|0.005|0.002|0.6|0.3|0.1|30.0|0.05|7.0|0.6|20.0|0.05|0.01|0.005|0.02|20.0|20.0|0.01|1.0|0.3|7.0|0.02|3.0|0.001|0.6</t>
  </si>
  <si>
    <t>12.2069441223|-51.0606700759|-70.4329584012|-9.7036249691|-1.0908990939|-1.2637749249|-0.3179454269|-1.7267667284|-0.6828650687|-3.5658240364|0.0507043951|0.5316605217|-26.274981756|-1.9815381335|-1.3851466458|0.4902288174|-1.0438430106|-48.1598302592|-3.4457218365|-6.0509156946|-38.5682327692|-0.5595469955|-1.1801634649|-1.5323300706|6.2966905194|-5.6191935161|-34.2207593715|-3.1233196971|-1.4395173023|-1.3781030252|-23.770674512|0.6461995322|-1.3926585058|-1.556913749|-0.4815742683|-26.115825913|-10.7313962334|0.1120289995|-0.6854364378|6.2165586005|-7.7457945976|-2.0491978167|5.7150349217|-1.5437712751|0.9889471685</t>
  </si>
  <si>
    <t>cell cycle</t>
  </si>
  <si>
    <t>cellular</t>
  </si>
  <si>
    <t>cytotoxicity</t>
  </si>
  <si>
    <t>cell proliferation</t>
  </si>
  <si>
    <t>CellTiter-Glo Luciferase-coupled ATP quantitation</t>
  </si>
  <si>
    <t>cervix</t>
  </si>
  <si>
    <t>ERF_TW_NR_COA_hPPARA</t>
  </si>
  <si>
    <t>Data from the assay component ERF_TW_NR_COA_hPPARA was analyzed at the assay endpoint, ERF_TW_NR_COA_hPPARA, in the positive analysis fitting direction relative to DMSO as the negative control and baseline of activity. Using a type of binding reporter, gain-of-signal activity can be used to understand changes in binding as they relate to gene PPARA. To generalize the intended target to other relatable targets, this assay endpoint is annotated to the nuclear receptor intended target family, where the subfamily is non-steroidal.</t>
  </si>
  <si>
    <t>ERF_TW_NR_COA_hPPARA is an assay component calculated from the ERF_TW_NR_COA_hPPARA assay. It is designed to measure FRET using a type of binding reporter as detected by fluorescence intensity of GW7647 with fluorimetry technology.</t>
  </si>
  <si>
    <t>NP_005027.2</t>
  </si>
  <si>
    <t>PPARA</t>
  </si>
  <si>
    <t>peroxisome proliferator-activated receptor alpha</t>
  </si>
  <si>
    <t>ERF</t>
  </si>
  <si>
    <t>Eurofins is an international group of laboratories headquartered in Luxembourg, providing testing and support services to the pharmaceutical, food, environmental, agriscience and consumer products industries and to governments.</t>
  </si>
  <si>
    <t>binding</t>
  </si>
  <si>
    <t>Average number of replicates per conc &lt; 2,Efficacy &lt; 50%</t>
  </si>
  <si>
    <t>NA</t>
  </si>
  <si>
    <t>cell-free</t>
  </si>
  <si>
    <t>1.0|10.0|0.3|100.0|30.0|0.1|3.0|0.03</t>
  </si>
  <si>
    <t>19.0|10.0|8.0|25.0|17.0|3.0|5.0|1.0</t>
  </si>
  <si>
    <t>nuclear receptor</t>
  </si>
  <si>
    <t>protein</t>
  </si>
  <si>
    <t>receptor</t>
  </si>
  <si>
    <t>non-steroidal</t>
  </si>
  <si>
    <t>receptor binding</t>
  </si>
  <si>
    <t>Fluorimetry</t>
  </si>
  <si>
    <t>EPAPLT0866C02</t>
  </si>
  <si>
    <t>TOX21_p450_CYP2C9_Antagonist</t>
  </si>
  <si>
    <t>Data from the assay component TOX21_p450_CYP2C9_Antagonist was analyzed into 1 assay endpoint. This assay endpoint, TOX21_p450_CYP2C9_Antagonist, was analyzed in the positive analysis fitting direction relative to DMSO as the negative control and baseline of activity. Using a type of inducible reporter, loss-of-signal activity can be used to understand changes in enzymatic activity. To generalize the intended target to other relatable targets, this assay endpoint is annotated to the cyp intended target family, where the subfamily is cyp2c9.</t>
  </si>
  <si>
    <t>TOX21_p450_CYP2C9_Antagonist is an assay readout measured from the TOX21_p450_CYP2C9_Antagonist assay. It is designed to make measurements of luciferase induction, a form of inducible reporter, as detected with bioluminescence signals by P450-Glo technology</t>
  </si>
  <si>
    <t>NP_000762.2</t>
  </si>
  <si>
    <t>CYP2C9</t>
  </si>
  <si>
    <t>cytochrome P450, family 2, subfamily C, polypeptide 9</t>
  </si>
  <si>
    <t>enzymatic activity</t>
  </si>
  <si>
    <t>100.0|0.007|0.2|0.007|0.4|0.9|100.0|0.04|0.08|2.0|5.0|0.4|0.001|0.003|0.02|20.0|50.0|20.0|5.0|0.02|0.003|0.003|10.0|0.08|50.0|5.0|0.08|2.0|0.2|0.02|0.4|0.2|0.001|0.04|0.9|2.0|100.0|0.9|10.0|50.0|0.001|10.0|0.04|0.007|20.0</t>
  </si>
  <si>
    <t>-105.2530816102|4.7255020126|-0.2864525864|6.5214995799|-2.4942156258|-24.8294981829|-112.6986495113|0.3105248491|0.006034035|-40.9835906761|-70.9439308812|-19.706456556|1.0180904795|-1.2829390314|-0.4542712138|-97.8596359021|-102.9141196749|-107.9169417184|-69.334894908|16.2833512926|7.0926604733|-1.9359468132|-88.513270019|13.5621097066|-105.2563292034|-77.3126019302|-0.5523596919|-47.991216215|1.0927451626|12.1760838632|-1.4175855589|4.2223798664|9.9869958316|-9.9193213207|-24.9948122324|-45.7192829797|-106.7820592387|-21.7921203345|-84.5040865081|-110.762920724|2.3497600499|-99.0495913287|0.5853218348|8.7310488232|-102.2838282301</t>
  </si>
  <si>
    <t>cyp</t>
  </si>
  <si>
    <t>protein-specified</t>
  </si>
  <si>
    <t>cyp2c9</t>
  </si>
  <si>
    <t>regulation of catalytic activity</t>
  </si>
  <si>
    <t>P450-Glo</t>
  </si>
  <si>
    <t>NVS_ADME_rCYP2A2</t>
  </si>
  <si>
    <t>Data from the assay component NVS_ADME_rCYP2A2 was analyzed into 1 assay endpoint. This assay endpoint, NVS_ADME_rCYP2A2, was analyzed in the positive analysis fitting direction relative to Acetonitrile as the negative control and baseline of activity. 
Using a type of enzyme reporter, loss-of-signal activity can be used to understand changes in the enzymatic activity as they relate to the gene Cyp2a2.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cyp intended target family, where the subfamily is xenobiotic metabolism.</t>
  </si>
  <si>
    <t>NVS_ADME_rCYP2A2 is one of one assay component(s) measured or calculated from the NVS_ADME_rCYP2A2 assay. It is designed to make measurements of enzyme activity, a form of enzyme reporter, as detected with fluorescence intensity signals by Fluorescence technology.</t>
  </si>
  <si>
    <t>NP_036825.1</t>
  </si>
  <si>
    <t>Cyp2a2</t>
  </si>
  <si>
    <t>cytochrome P450, family 2, subfamily a, polypeptide 2</t>
  </si>
  <si>
    <t>NVS</t>
  </si>
  <si>
    <t>NovaScreen, part of PerkinElmer, a human and environmental health company, provides a large diverse suite of cell-free binding and biochemical assays.</t>
  </si>
  <si>
    <t>Bmd &gt; ac50, indication of high baseline variability,Average number of replicates per conc &lt; 2,Efficacy &lt; 50%</t>
  </si>
  <si>
    <t>rat</t>
  </si>
  <si>
    <t>7.0|0.2|2.0|0.7|0.08|20.0|0.009|0.03</t>
  </si>
  <si>
    <t>-31.257995735607675|-6.3965884861407245|-23.96588486140725|-5.415778251599147|-2.260127931769723|-17.526652452025587|-1.023454157782516|1.023454157782516</t>
  </si>
  <si>
    <t>enzyme</t>
  </si>
  <si>
    <t>xenobiotic metabolism</t>
  </si>
  <si>
    <t>Fluorescence</t>
  </si>
  <si>
    <t>LEGTV003C04</t>
  </si>
  <si>
    <t>NVS_ENZ_hBACE</t>
  </si>
  <si>
    <t>Data from the assay component NVS_ENZ_hBACE was analyzed into 1 assay endpoint. This assay endpoint, NVS_ENZ_hBACE, was analyzed in the positive analysis fitting direction relative to DMSO as the negative control and baseline of activity. 
Using a type of enzyme reporter, loss-of-signal activity can be used to understand changes in the enzymatic activity as they relate to the gene BACE1.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protease intended target family, where the subfamily is aspartate protease.</t>
  </si>
  <si>
    <t>NVS_ENZ_hBACE is one of one assay component(s) measured or calculated from the NVS_ENZ_hBACE assay. It is designed to make measurements of enzyme activity, a form of enzyme reporter, as detected with fluorescence intensity signals by Fluorescence technology.</t>
  </si>
  <si>
    <t>P56817.3</t>
  </si>
  <si>
    <t>BACE1</t>
  </si>
  <si>
    <t>beta-site APP-cleaving enzyme 1</t>
  </si>
  <si>
    <t>Average number of replicates per conc &lt; 2</t>
  </si>
  <si>
    <t>0.07|6.0|50.0|0.02|0.2|20.0|0.6|2.0</t>
  </si>
  <si>
    <t>-3.964677222898904|-53.76979293544458|-81.85749086479902|3.964677222898904|-5.718635809987821|-71.61388550548111|-4.97563946406821|-27.44823386114495</t>
  </si>
  <si>
    <t>protease</t>
  </si>
  <si>
    <t>aspartate protease</t>
  </si>
  <si>
    <t>NVS_ENZ_hPI3Ka</t>
  </si>
  <si>
    <t>Data from the assay component NVS_ENZ_hPI3Ka was analyzed into 1 assay endpoint. This assay endpoint, NVS_ENZ_hPI3Ka, was analyzed in the positive analysis fitting direction relative to DMSO as the negative control and baseline of activity. 
Using a type of enzyme reporter, loss-of-signal activity can be used to understand changes in the enzymatic activity as they relate to the gene PIK3CA.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kinase intended target family, where the subfamily is phosphoinositol kinase.</t>
  </si>
  <si>
    <t>NVS_ENZ_hPI3Ka is one of one assay component(s) measured or calculated from the NVS_ENZ_hPI3Ka assay. It is designed to make measurements of enzyme activity, a form of enzyme reporter, as detected with fluorescence intensity signals by Fluorescence and electrophoretic mobility shift technology.</t>
  </si>
  <si>
    <t>NP_006209.2</t>
  </si>
  <si>
    <t>PIK3CA</t>
  </si>
  <si>
    <t>phosphatidylinositol-4,5-bisphosphate 3-kinase, catalytic subunit alpha</t>
  </si>
  <si>
    <t>20.0|50.0|0.02|0.07|0.2|2.0|6.0|0.6</t>
  </si>
  <si>
    <t>-25.850175481060145|-37.6618661503086|-1.1618056395982008|1.161805639598201|4.06631973859373|-0.38726854653272813|-11.5696478276655|2.7108798257291475</t>
  </si>
  <si>
    <t>phosphoinositol kinase</t>
  </si>
  <si>
    <t>Fluorescence and electrophoretic mobility shift</t>
  </si>
  <si>
    <t>NVS_ENZ_hPPP1CA</t>
  </si>
  <si>
    <t>Data from the assay component NVS_ENZ_hPPP1CA was analyzed into 1 assay endpoint. This assay endpoint, NVS_ENZ_hPPP1CA, was analyzed in the positive analysis fitting direction relative to DMSO as the negative control and baseline of activity. 
Using a type of enzyme reporter, loss-of-signal activity can be used to understand changes in the enzymatic activity as they relate to the gene PPP1CA.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phosphatase intended target family, where the subfamily is serine/threonine phosphatase.</t>
  </si>
  <si>
    <t>NVS_ENZ_hPPP1CA is one of one assay component(s) measured or calculated from the NVS_ENZ_hPPP1CA assay. It is designed to make measurements of enzyme activity, a form of enzyme reporter, as detected with fluorescence intensity signals by Fluorescence and electrophoretic mobility shift technology.</t>
  </si>
  <si>
    <t>NP_002699.1</t>
  </si>
  <si>
    <t>PPP1CA</t>
  </si>
  <si>
    <t>protein phosphatase 1, catalytic subunit, alpha isozyme</t>
  </si>
  <si>
    <t>0.07|0.2|50.0|6.0|0.6|20.0|0.02|2.0</t>
  </si>
  <si>
    <t>0.42792792792792156|-1.4639639639639448|-15.337837837837846|-33.04054054054055|-27.90540540540541|-8.040540540540528|-0.4279279279279251|-38.71621621621622</t>
  </si>
  <si>
    <t>phosphatase</t>
  </si>
  <si>
    <t>serine/threonine phosphatase</t>
  </si>
  <si>
    <t>NVS_ENZ_hPPP2CA</t>
  </si>
  <si>
    <t>Data from the assay component NVS_ENZ_hPPP2CA was analyzed into 1 assay endpoint. This assay endpoint, NVS_ENZ_hPPP2CA, was analyzed in the positive analysis fitting direction relative to DMSO as the negative control and baseline of activity. 
Using a type of enzyme reporter, loss-of-signal activity can be used to understand changes in the enzymatic activity as they relate to the gene PPP2CA.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phosphatase intended target family, where the subfamily is serine/threonine phosphatase.</t>
  </si>
  <si>
    <t>NVS_ENZ_hPPP2CA is one of one assay component(s) measured or calculated from the NVS_ENZ_hPPP2CA assay. It is designed to make measurements of enzyme activity, a form of enzyme reporter, as detected with fluorescence intensity signals by Fluorescence and electrophoretic mobility shift technology.</t>
  </si>
  <si>
    <t>NP_002706.1</t>
  </si>
  <si>
    <t>PPP2CA</t>
  </si>
  <si>
    <t>protein phosphatase 2, catalytic subunit, alpha isozyme</t>
  </si>
  <si>
    <t>20.0|0.07|6.0|0.02|0.6|50.0|2.0|0.2</t>
  </si>
  <si>
    <t>-12.938144329896899|-0.6185567010309332|1.804123711340214|0.6185567010309327|-5.257731958762885|-35.412371134020624|-5.515463917525775|-0.10309278350515294</t>
  </si>
  <si>
    <t>NVS_ENZ_hTie2</t>
  </si>
  <si>
    <t>Data from the assay component NVS_ENZ_hTie2 was analyzed into 1 assay endpoint. This assay endpoint, NVS_ENZ_hTie2, was analyzed in the positive analysis fitting direction relative to DMSO as the negative control and baseline of activity. 
Using a type of enzyme reporter, loss-of-signal activity can be used to understand changes in the enzymatic activity as they relate to the gene TEK. 
Furthermore, this assay endpoint can be referred to as a primary readout, because this assay has produced multiple assay endpoints where this one serves a enzymatic activity function. 
To generalize the intended target to other relatable targets, this assay endpoint is annotated to the kinase intended target family, where the subfamily is receptor tyrosine kinase.</t>
  </si>
  <si>
    <t>NVS_ENZ_hTie2 is one of one assay component(s) measured or calculated from the NVS_ENZ_hTie2 assay. It is designed to make measurements of enzyme activity, a form of enzyme reporter, as detected with fluorescence intensity signals by Fluorescence and electrophoretic mobility shift technology.</t>
  </si>
  <si>
    <t>NP_000450.3</t>
  </si>
  <si>
    <t>TEK</t>
  </si>
  <si>
    <t>TEK tyrosine kinase, endothelial</t>
  </si>
  <si>
    <t>0.2|20.0|2.0|0.02|50.0|0.6|6.0|0.07</t>
  </si>
  <si>
    <t>-1.4587332053742765|-39.69289827255278|-3.416506717850291|-26.257197696737045|-63.14779270633398|2.802303262955856|-7.754318618042226|-2.1497120921305135</t>
  </si>
  <si>
    <t>receptor tyrosine kinase</t>
  </si>
  <si>
    <t>NVS_GPCR_gLTB4</t>
  </si>
  <si>
    <t>Data from the assay component NVS_GPCR_gLTB4 was analyzed into 1 assay endpoint. This assay endpoint, NVS_GPCR_gLTB4, was analyzed in the positive analysis fitting direction relative to DMSO as the negative control and baseline of activity. 
Using a type of binding reporter, loss-of-signal activity can be used to understand changes in the binding as they relate to the gene Ltb4r. 
Furthermore, this assay endpoint can be referred to as a primary readout, because the performed assay has only produced 1 assay endpoint. 
To generalize the intended target to other relatable targets, this assay endpoint is annotated to the gpcr intended target family, where the subfamily is rhodopsin-like receptor.</t>
  </si>
  <si>
    <t>NVS_GPCR_gLTB4 is one of one assay component(s) measured or calculated from the NVS_GPCR_gLTB4 assay. It is designed to make measurements of radioligand binding, a form of binding reporter, as detected with scintillation counting signals by Filter-based radiodetection technology.</t>
  </si>
  <si>
    <t>NP_001166306.1</t>
  </si>
  <si>
    <t>Ltb4r</t>
  </si>
  <si>
    <t>leukotriene B4 receptor</t>
  </si>
  <si>
    <t>guinea pig</t>
  </si>
  <si>
    <t>tissue-based cell-free</t>
  </si>
  <si>
    <t>0.6|0.2|2.0|0.02|0.07|50.0|20.0|6.0</t>
  </si>
  <si>
    <t>-9.401858920268438|-6.211994800975835|-8.111126766583752|-4.643263669998117|4.643263669998118|-50.198367151792816|-27.031205226887376|-17.23189959107554</t>
  </si>
  <si>
    <t>gpcr</t>
  </si>
  <si>
    <t>rhodopsin-like receptor</t>
  </si>
  <si>
    <t>Filter-based radiodetection</t>
  </si>
  <si>
    <t>spleen</t>
  </si>
  <si>
    <t>NVS_GPCR_hAdoRA2a</t>
  </si>
  <si>
    <t>Data from the assay component NVS_GPCR_hAdoRA2a was analyzed into 1 assay endpoint. This assay endpoint, NVS_GPCR_hAdoRA2a, was analyzed in the positive analysis fitting direction relative to DMSO as the negative control and baseline of activity. 
Using a type of binding reporter, loss-of-signal activity can be used to understand changes in the binding as they relate to the gene ADORA2A. 
Furthermore, this assay endpoint can be referred to as a primary readout, because the performed assay has only produced 1 assay endpoint. 
To generalize the intended target to other relatable targets, this assay endpoint is annotated to the gpcr intended target family, where the subfamily is rhodopsin-like receptor.</t>
  </si>
  <si>
    <t>NVS_GPCR_hAdoRA2a is one of one assay component(s) measured or calculated from the NVS_GPCR_hAdoRA2a assay. It is designed to make measurements of radioligand binding, a form of binding reporter, as detected with scintillation counting signals by Filter-based radiodetection technology.</t>
  </si>
  <si>
    <t>NP_000666.2</t>
  </si>
  <si>
    <t>ADORA2A</t>
  </si>
  <si>
    <t>adenosine A2a receptor</t>
  </si>
  <si>
    <t>20.0|6.0|0.02|0.07|50.0|0.6|0.2|2.0</t>
  </si>
  <si>
    <t>-34.561308638637286|-8.29390293362174|-4.089495741516831|4.089495741516831|-48.02622684872245|-4.468027578748142|-11.470866567527377|-6.739218602136002</t>
  </si>
  <si>
    <t>NVS_GPCR_hLTB4_BLT1</t>
  </si>
  <si>
    <t>Data from the assay component NVS_GPCR_hLTB4_BLT1 was analyzed into 1 assay endpoint. This assay endpoint, NVS_GPCR_hLTB4_BLT1, was analyzed in the positive analysis fitting direction relative to DMSO as the negative control and baseline of activity. 
Using a type of binding reporter, loss-of-signal activity can be used to understand changes in the binding as they relate to the gene LTB4R. 
Furthermore, this assay endpoint can be referred to as a primary readout, because the performed assay has only produced 1 assay endpoint. 
To generalize the intended target to other relatable targets, this assay endpoint is annotated to the gpcr intended target family, where the subfamily is rhodopsin-like receptor.</t>
  </si>
  <si>
    <t>NVS_GPCR_hLTB4_BLT1 is one of one assay component(s) measured or calculated from the NVS_GPCR_hLTB4_BLT1 assay. It is designed to make measurements of radioligand binding, a form of binding reporter, as detected with scintillation counting signals by Filter-based radiodetection technology.</t>
  </si>
  <si>
    <t>NP_858043.1</t>
  </si>
  <si>
    <t>LTB4R</t>
  </si>
  <si>
    <t>Active with only highest conc above baseline (3*bmad),Average number of replicates per conc &lt; 2,Efficacy &lt; 50%</t>
  </si>
  <si>
    <t>50.0|2.0|6.0|0.02|0.07|0.2|0.6|20.0</t>
  </si>
  <si>
    <t>-44.1409926307378|11.193781013544847|-3.9803880947448356|-4.351317489912891|4.351317489912891|-1.44307318949953|-9.103159805459374|-6.724081801769792</t>
  </si>
  <si>
    <t>NVS_NR_hCAR_Antagonist</t>
  </si>
  <si>
    <t>Data from the assay component NVS_NR_hCAR_Antagonist was analyzed into 1 assay endpoint. This assay endpoint, NVS_NR_hCAR_Antagonist, was analyzed in the positive analysis fitting direction relative to DMSO as the negative control and baseline of activity. 
Using a type of binding reporter, loss-of-signal activity can be used to understand changes in the binding as they relate to the gene NR1I3. 
Furthermore, this assay endpoint can be referred to as a primary readout, because the performed assay has only produced 1 assay endpoint. 
To generalize the intended target to other relatable targets, this assay endpoint is annotated to the nuclear receptor intended target family, where the subfamily is non-steroidal.</t>
  </si>
  <si>
    <t>NVS_NR_hCAR_Antagonist is one of one assay component(s) measured or calculated from the NVS_NR_hCAR_Antagonist assay. It is designed to make measurements of fluorescent resonance energy transfer, a form of binding reporter, as detected with fluorescent resonance energy transfer signals by Time-Resolved Fluorescence Resonance Energy Transfer (TR-FRET) technology.</t>
  </si>
  <si>
    <t>NP_001070948.1</t>
  </si>
  <si>
    <t>NR1I3</t>
  </si>
  <si>
    <t>nuclear receptor subfamily 1, group I, member 3</t>
  </si>
  <si>
    <t>0.02|0.6|6.0|50.0|0.07|0.2|20.0|2.0</t>
  </si>
  <si>
    <t>1.3698630136986312|-15.173867228661763|-7.165437302423621|-34.03582718651212|-1.3698630136986312|1.2644889357218019|-19.81032665964173|-4.636459430979994</t>
  </si>
  <si>
    <t>TR-FRET</t>
  </si>
  <si>
    <t>NVS_NR_hPPARg</t>
  </si>
  <si>
    <t>Data from the assay component NVS_NR_hPPARg was analyzed into 1 assay endpoint. This assay endpoint, NVS_NR_hPPARg, was analyzed in the positive analysis fitting direction relative to DMSO as the negative control and baseline of activity. 
Using a type of binding reporter, loss-of-signal activity can be used to understand changes in the binding as they relate to the gene PPARG. 
Furthermore, this assay endpoint can be referred to as a primary readout, because the performed assay has only produced 1 assay endpoint. 
To generalize the intended target to other relatable targets, this assay endpoint is annotated to the nuclear receptor intended target family, where the subfamily is non-steroidal.</t>
  </si>
  <si>
    <t>NVS_NR_hPPARg is one of one assay component(s) measured or calculated from the NVS_NR_hPPARg assay. It is designed to make measurements of fluorescent polarization, a form of binding reporter, as detected with fluorescence polarization signals by Fluorescence Polarization technology.</t>
  </si>
  <si>
    <t>NP_056953.2</t>
  </si>
  <si>
    <t>PPARG</t>
  </si>
  <si>
    <t>peroxisome proliferator-activated receptor gamma</t>
  </si>
  <si>
    <t>50.0|0.6|20.0|2.0|0.2|0.02|6.0|0.07</t>
  </si>
  <si>
    <t>-36.563071297989026|-1.4625228519195623|-15.356489945155392|5.850091407678245|-2.925045703839123|2.1937842778793417|-0.7312614259597812|-2.1937842778793417</t>
  </si>
  <si>
    <t>Fluorescence Polarization</t>
  </si>
  <si>
    <t>LTEA_HepaRG_ACOX1</t>
  </si>
  <si>
    <t>Data from the assay component LTEA_HepaRG_ACOX1 was analyzed into 1 endpoint. This assay endpoint, LTEA_HepaRG_ACOX1,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oxidase intended target family, where the subfamily is steatosis.</t>
  </si>
  <si>
    <t>LTEA_HepaRG_ACOX1 is one of 102 assay component(s) measured in the LTEA HepaRG cell culture assay. It is a marker of Steatosis.</t>
  </si>
  <si>
    <t>NP_009223.2</t>
  </si>
  <si>
    <t>ACOX1</t>
  </si>
  <si>
    <t>acyl-CoA oxidase 1, palmitoyl</t>
  </si>
  <si>
    <t>1.0|3.0|1.0|100.0|3.0|0.3|0.03|30.0|30.0|10.0|100.0|10.0|0.1|0.1|0.03|0.3</t>
  </si>
  <si>
    <t>0.194399875337135|0.677987476723002|-0.014663431039644959|1.280448944090759|-0.129869638819605|0.28076812543804497|0.16430530878403493|0.7101387240855009|0.747135638018559|1.1745800101144|0.6366352036367019|-0.4261763722567449|-0.08597610450631499|-0.1997857527433451|-0.17053867746637508|0.24716010289688484</t>
  </si>
  <si>
    <t>oxidase</t>
  </si>
  <si>
    <t>steatosis</t>
  </si>
  <si>
    <t>LTEA_HepaRG_ALPP</t>
  </si>
  <si>
    <t>Data from the assay component LTEA_HepaRG_ALPP was analyzed into 1 endpoint. This assay endpoint, LTEA_HepaRG_ALPP,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phosphatase intended target family, where the subfamily is Cell proliferation, survival, death.</t>
  </si>
  <si>
    <t>LTEA_HepaRG_ALPP is one of 102 assay component(s) measured in the LTEA HepaRG cell culture assay. It is a marker of Cell proliferation, survival, death.</t>
  </si>
  <si>
    <t>NP_001623.3</t>
  </si>
  <si>
    <t>ALPP</t>
  </si>
  <si>
    <t>alkaline phosphatase, placental</t>
  </si>
  <si>
    <t>0.03|100.0|30.0|3.0|30.0|3.0|1.0|0.3|0.1|0.03|1.0|0.3|0.1|10.0|100.0|10.0</t>
  </si>
  <si>
    <t>-1.8790167109105393|-1.222057926424009|-2.4813775757261602|-0.8273329801516693|-1.2497750199428097|0.13653828356543052|-2.125728384189429|-1.4570264349046802|-0.4332829667009799|-0.6322039930082299|-0.24079440126850926|-0.11898422814492005|-0.59152274470061|-1.147642466509069|-3.1601471513182293|-0.2783710914137094</t>
  </si>
  <si>
    <t>Cell proliferation, survival, death</t>
  </si>
  <si>
    <t>LTEA_HepaRG_CAT</t>
  </si>
  <si>
    <t>Data from the assay component LTEA_HepaRG_CAT was analyzed into 1 endpoint. This assay endpoint, LTEA_HepaRG_CAT,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catalase intended target family, where the subfamily is oxidative stress.</t>
  </si>
  <si>
    <t>LTEA_HepaRG_CAT is one of 102 assay component(s) measured in the LTEA HepaRG cell culture assay. It is a marker of Oxidative Stress.</t>
  </si>
  <si>
    <t>NP_001743.1</t>
  </si>
  <si>
    <t>CAT</t>
  </si>
  <si>
    <t>catalase</t>
  </si>
  <si>
    <t>1.0|30.0|10.0|0.03|0.1|0.03|30.0|3.0|0.3|0.1|10.0|3.0|0.3|1.0|100.0|100.0</t>
  </si>
  <si>
    <t>-0.06804900270082248|0.6641306701391196|1.0910249115700186|-0.04258401198455353|-0.07654559842329445|0.011485270464650532|0.7102733233625765|0.3754761640469195|0.2013555868217035|0.4132150378063705|-0.3238254446997235|-0.1977306665831845|0.3432392387645665|0.036457772490353535|1.0014024541589215|1.2159617768611786</t>
  </si>
  <si>
    <t>oxidative stress</t>
  </si>
  <si>
    <t>LTEA_HepaRG_CYP2B6</t>
  </si>
  <si>
    <t>Data from the assay component LTEA_HepaRG_CYP2B6 was analyzed into 1 endpoint. This assay endpoint, LTEA_HepaRG_CYP2B6,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cyp intended target family, where the subfamily is xenobiotic metabolism.</t>
  </si>
  <si>
    <t>LTEA_HepaRG_CYP2B6 is one of 102 assay component(s) measured in the LTEA HepaRG cell culture assay. It is a marker of NR mediated metabolism.</t>
  </si>
  <si>
    <t>NP_000758.1</t>
  </si>
  <si>
    <t>CYP2B6</t>
  </si>
  <si>
    <t>cytochrome P450, family 2, subfamily B, polypeptide 6</t>
  </si>
  <si>
    <t>0.3|30.0|3.0|1.0|0.3|100.0|3.0|1.0|0.1|0.1|0.03|0.03|10.0|30.0|10.0|100.0</t>
  </si>
  <si>
    <t>0.22762315606345984|1.2312553047188302|0.19970976679298014|0.26895751233651|0.08364262454472016|1.69305741071923|0.49061529612377|0.5168064371968302|-0.013892959458039922|0.19027604840383017|0.22084826502520016|0.33566319683101|0.6875999561111801|1.45393389347928|0.3128312349270299|1.94803733497208</t>
  </si>
  <si>
    <t>LTEA_HepaRG_CYP2C19</t>
  </si>
  <si>
    <t>Data from the assay component LTEA_HepaRG_CYP2C19 was analyzed into 1 endpoint. This assay endpoint, LTEA_HepaRG_CYP2C19,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cyp intended target family, where the subfamily is xenobiotic metabolism.</t>
  </si>
  <si>
    <t>LTEA_HepaRG_CYP2C19 is one of 102 assay component(s) measured in the LTEA HepaRG cell culture assay. It is a marker of NR mediated metabolism.</t>
  </si>
  <si>
    <t>NP_000760.1</t>
  </si>
  <si>
    <t>CYP2C19</t>
  </si>
  <si>
    <t>cytochrome P450, family 2, subfamily C, polypeptide 19</t>
  </si>
  <si>
    <t>100.0|3.0|100.0|3.0|0.1|10.0|10.0|0.3|1.0|0.3|1.0|0.03|30.0|0.03|30.0|0.1</t>
  </si>
  <si>
    <t>1.130509545500705|0.3173730744259049|1.598510791922655|0.40209275414449497|1.137987794074355|0.7331656021094051|0.37357497046365484|0.35194853368758494|0.5413365656902349|0.6385443667999451|0.5989769493807549|-0.2728115662315749|1.196999856981305|0.4271610242850352|1.050635891081555|0.23262481075128516</t>
  </si>
  <si>
    <t>LTEA_HepaRG_CYP3A7</t>
  </si>
  <si>
    <t>Data from the assay component LTEA_HepaRG_CYP3A7 was analyzed into 1 endpoint. This assay endpoint, LTEA_HepaRG_CYP3A7,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cyp intended target family, where the subfamily is xenobiotic metabolism.</t>
  </si>
  <si>
    <t>LTEA_HepaRG_CYP3A7 is one of 102 assay component(s) measured in the LTEA HepaRG cell culture assay. It is a marker of NR mediated metabolism/Undifferentiated hepatocyte.</t>
  </si>
  <si>
    <t>NP_000756.3</t>
  </si>
  <si>
    <t>CYP3A7</t>
  </si>
  <si>
    <t>cytochrome P450, family 3, subfamily A, polypeptide 7</t>
  </si>
  <si>
    <t>30.0|3.0|3.0|100.0|10.0|1.0|0.03|1.0|0.3|0.03|0.3|0.1|0.1|30.0|10.0|100.0</t>
  </si>
  <si>
    <t>1.6228062586514955|-0.0808384784531544|0.42413895921693534|2.3276597738463956|0.7507076702367455|0.06305073187227528|-0.7330785593732339|0.43598860065519585|0.3828009003284256|0.1371516849147758|0.5464049809510856|0.24027024278452558|0.19723044482889573|1.1885158460378458|0.5794871914699957|0.6139342915484454</t>
  </si>
  <si>
    <t>LTEA_HepaRG_CYP4A11</t>
  </si>
  <si>
    <t>Data from the assay component LTEA_HepaRG_CYP4A11 was analyzed into 1 endpoint. This assay endpoint, LTEA_HepaRG_CYP4A11,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cyp intended target family, where the subfamily is xenobiotic metabolism.</t>
  </si>
  <si>
    <t>LTEA_HepaRG_CYP4A11 is one of 102 assay component(s) measured in the LTEA HepaRG cell culture assay. It is a marker of NR mediated metabolism.</t>
  </si>
  <si>
    <t>NP_000769.2</t>
  </si>
  <si>
    <t>CYP4A11</t>
  </si>
  <si>
    <t>cytochrome P450, family 4, subfamily A, polypeptide 11</t>
  </si>
  <si>
    <t>100.0|100.0|3.0|0.1|30.0|3.0|1.0|0.1|1.0|0.3|30.0|0.3|10.0|0.03|0.03|10.0</t>
  </si>
  <si>
    <t>1.1656798794664502|2.9692838086064004|0.19178272613095082|0.21348154115143014|2.18258689502785|0.7534970588456402|-0.5400116702750193|-0.18380034061789985|0.39562640659760007|-0.28333342182136967|2.4394952040572004|0.11131683276648996|1.1212326256569005|-1.3384260505557295|0.19897989773408042|1.0970600780324502</t>
  </si>
  <si>
    <t>LTEA_HepaRG_CYP4A22</t>
  </si>
  <si>
    <t>Data from the assay component LTEA_HepaRG_CYP4A22 was analyzed into 1 endpoint. This assay endpoint, LTEA_HepaRG_CYP4A22,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cyp intended target family, where the subfamily is xenobiotic metabolism.</t>
  </si>
  <si>
    <t>LTEA_HepaRG_CYP4A22 is one of 102 assay component(s) measured in the LTEA HepaRG cell culture assay. It is a marker of NR mediated metabolism.</t>
  </si>
  <si>
    <t>NP_001010969.2</t>
  </si>
  <si>
    <t>CYP4A22</t>
  </si>
  <si>
    <t>cytochrome P450, family 4, subfamily A, polypeptide 22</t>
  </si>
  <si>
    <t>3.0|100.0|3.0|0.1|100.0|10.0|0.1|0.03|0.03|30.0|30.0|1.0|0.3|10.0|0.3</t>
  </si>
  <si>
    <t>0.14163184003156992|1.7914274720379804|1.0370766127469704|-0.19452151279894014|2.80279765158523|1.2442662730411702|0.009178357853030228|-0.8248938713264993|0.18688108152581062|1.9758774632157805|2.2044255817386302|-1.0240282934825897|-0.2567841876752395|2.0630126971021303|0.27572489597452066</t>
  </si>
  <si>
    <t>LTEA_HepaRG_FABP1</t>
  </si>
  <si>
    <t>Data from the assay component LTEA_HepaRG_FABP1 was analyzed into 1 endpoint. This assay endpoint, LTEA_HepaRG_FABP1, was analyzed with bidirectional fitting relative to DMSO as the negative control and baseline of activity.  Using a type of inducible reporter, measures of mRNA induction for gain or loss-of-signal activity can be used to understand regulation of transcription factor activity. To generalize the intended target to other relatable targets, this assay endpoint is annotated to the transporter intended target family, where the subfamily is fatty acid carrier protein.</t>
  </si>
  <si>
    <t>LTEA_HepaRG_FABP1 is one of 102 assay component(s) measured in the LTEA HepaRG cell culture assay. It is a marker of Steatosis.</t>
  </si>
  <si>
    <t>NP_001434.1</t>
  </si>
  <si>
    <t>FABP1</t>
  </si>
  <si>
    <t>fatty acid binding protein 1, liver</t>
  </si>
  <si>
    <t>10.0|100.0|30.0|1.0|100.0|30.0|1.0|0.3|0.1|0.3|10.0|3.0|0.03|3.0|0.03</t>
  </si>
  <si>
    <t>1.35140567025254|2.3007035104918403|1.42418475743144|0.6240789468036703|2.00637305115725|1.8584588457720501|0.03760958181921015|0.79967165379657|0.24016919858561003|0.40693268193209|-0.13163915568694984|0.7507006180364402|0.55763370676659|-0.19091108306812|0.04549413022812998</t>
  </si>
  <si>
    <t>transporter</t>
  </si>
  <si>
    <t>fatty acid carrier protein</t>
  </si>
  <si>
    <t>TOX21_ARE_BLA_Agonist_ch2</t>
  </si>
  <si>
    <t>Data from the assay component TOX21_ARE_BLA_Agonist_ch2 was analyzed into 1 assay endpoint. This assay endpoint, TOX21_ARE_BLA_Agonist_ch2, was analyzed in the positive analysis fitting direction relative to DMSO as the negative control and baseline of activity. Using a type of inducible reporter, increased activity can be used to understand changes in the reporter gene as they relate to the gene NFE2L2. Furthermore, this assay endpoint can be referred to as a secondary readout, because this assay has produced multiple assay endpoints where this one serves as artifact detection function.</t>
  </si>
  <si>
    <t xml:space="preserve">TOX21_ARE_BLA_Agonist_ch2 is an assay readout measuring reporter gene via receptor activity and designed using inducible reporter (beta lactamase induction) detected with GAL4 b-lactamase reporter gene. The signal is derived from the cleaved reporter gene substrate and is used to calculate the ratio of cleaved (ch2) to uncleaved (ch1) substrate used as the measure of target activity. </t>
  </si>
  <si>
    <t>AEID1109_TOX21_ARE_BLA_Agonist_ch2.pdf</t>
  </si>
  <si>
    <t>product</t>
  </si>
  <si>
    <t>HepG2</t>
  </si>
  <si>
    <t>0.07|0.07|90.0|0.006|0.3|0.07|0.1|0.006|0.01|4.0|0.01|0.003|90.0|8.0|0.003|0.3|4.0|0.003|90.0|20.0|0.1|8.0|20.0|40.0|0.1|0.001|8.0|0.006|0.03|40.0|0.7|2.0|20.0|40.0|2.0|0.001|2.0|0.3|0.01|0.03|4.0|0.03|0.7|0.001|0.7</t>
  </si>
  <si>
    <t>-11.8508023178|-1.9693536374|39.1138796649|-0.1193247701|7.8009676332|-6.7742837208|-9.1351214208|3.6615192745|21.2165914427|8.201656093|-4.5098615518|-4.8905413157|64.450068722|-2.6860662996|-1.3873584994|-12.0951071428|-16.4474414915|0.0431165175|119.5048209646|80.9316214779|-4.2582794377|43.5148818787|0.8041722495|33.7460646906|2.1518213039|2.9938274932|27.5936861482|1.8965144304|31.7692787063|97.6020581345|27.010845748|5.9821537709|42.5934138732|56.9785481446|-20.7991874101|-7.9252954576|-4.7369876176|12.5112690191|-0.6782694913|3.3764695714|-7.6896351211|-0.7279637116|1.5326380957|-5.1706276654|-8.3565357038</t>
  </si>
  <si>
    <t>channel 2</t>
  </si>
  <si>
    <t>baseline control</t>
  </si>
  <si>
    <t>ATG_jmPPARa_EcoTox2</t>
  </si>
  <si>
    <t>Non-mammalian Vertebrate</t>
  </si>
  <si>
    <t>The assay endpoint ATG_jmPPARa_EcoTox2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PPARa.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</si>
  <si>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ATG_jmPPARa_EcoTox2 is one of 29 assay components calculated in the ATG_EcoTox2 assay. It is designed to make measurements of mRNA induction, a form of inducible reporter, as detected with fluorescence intensity signals by Reverse transcription polymerase chain reaction (RT-PCR) and Capillary electrophoresis technology.</t>
  </si>
  <si>
    <t>AEID3113_ATG_jmPPARa_EcoTox2.pdf</t>
  </si>
  <si>
    <t>pparaa</t>
  </si>
  <si>
    <t>peroxisome proliferator-activated receptor alpha a  Oryzias latipes (Japanese medaka)]</t>
  </si>
  <si>
    <t>ATG</t>
  </si>
  <si>
    <t>Attagene Inc. is a Contract Research Organization (CRO) offering a unique screening service using its proprietary multiplexed pathway profiling platform, the FACTORIAL.</t>
  </si>
  <si>
    <t>2.0|2.0|20.0|200.0|50.0|0.07|6.0|200.0|6.0|0.6|0.2|0.07|50.0|0.2|20.0|0.6</t>
  </si>
  <si>
    <t>-0.07331342018244624|0.1231614752558343|-0.18608135034439613|2.451895692297395|1.0762570106652647|0.24618201210757729|-0.024611817184324942|2.257697779467354|-0.15131593218371955|-0.34461544199984073|-0.1978585181207498|-0.31353283849076896|0.8498286097572214|-0.09755980603404565|0.30750578296222|0.30750578296222</t>
  </si>
  <si>
    <t>transcription factor</t>
  </si>
  <si>
    <t>RT-PCR and Capillary electrophoresis</t>
  </si>
  <si>
    <t>EPAPLT0218F02</t>
  </si>
  <si>
    <t>CLD_CYP1A1_48hr</t>
  </si>
  <si>
    <t>Data from the assay component CLD_CYP1A1_48hr was analyzed at the endpoint, CLD_CYP1A1_48hr, in the positive analysis fitting direction relative to DMSO as the negative control and baseline of activity. Using a type of inducible reporter, gain-of-signal activity can be used to understand changes in the reporter gene as they relate to the gene CYP1A1. Furthermore, this assay endpoint can be referred to as a primary readout. To generalize the intended target to other relatable targets, this assay endpoint is annotated to the cyp intended target family, where subfamily is xenobiotic metabolism.</t>
  </si>
  <si>
    <t>CLD_CYP1A1_48hr is one of 16 assay component(s) measured or calculated from the CLD_48hr assay. It is designed to make measurements of mRNA induction, a form of inducible reporter, as detected with chemiluminescence signals by Quantitative Nuclease Protection Assay (qNPA) technology.</t>
  </si>
  <si>
    <t>AEID1647_CLD_CYP1A1_48hr.pdf</t>
  </si>
  <si>
    <t>NP_000490.1</t>
  </si>
  <si>
    <t>CYP1A1</t>
  </si>
  <si>
    <t>cytochrome P450, family 1, subfamily A, polypeptide 1</t>
  </si>
  <si>
    <t>CLD</t>
  </si>
  <si>
    <t>Formerly CellzDirect, this Contract Research Organization (CRO) is now part of the Invitrogen brand of Thermo Fisher providing cell-based in vitro assay screening services using primary hepatocytes.</t>
  </si>
  <si>
    <t>Bmd &gt; ac50, indication of high baseline variability,No median responses above baseline (3*bmad)</t>
  </si>
  <si>
    <t>hepatocyte</t>
  </si>
  <si>
    <t>primary cell</t>
  </si>
  <si>
    <t>0.004|0.004|0.04|0.04|40.0|0.4|0.4|0.004|4.0|4.0|0.04|40.0|40.0|0.4|0.004|4.0|0.04|40.0|0.4|4.0</t>
  </si>
  <si>
    <t>0.6166713604484904|0.18057224564181995|-0.09953567355091986|1.0473057147783496|0.08496250072115519|2.2188182474559452|1.8219280948873644|0.26303440583379034|-0.7630344058337952|1.272589503896925|0.4150374992788399|1.0849625007211552|0.16296501272243447|1.4385994553358552|-0.09953567355091986|1.3073549220576046|0.6780719051126396|-0.9150374992788453|-0.17807190511263515|1.469626350956485</t>
  </si>
  <si>
    <t>Quantitative Nuclease Protection Assay (qNPA)</t>
  </si>
  <si>
    <t>TP0000075H10</t>
  </si>
  <si>
    <t>ATG_trERa_XSP2</t>
  </si>
  <si>
    <t>The assay endpoint ATG_trERa_XSP2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ER.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</si>
  <si>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ATG_trERa_XSP2 is one of 29 assay components measured or calculated from the ATG_XSP2_multi-species_TRANS assay. It is designed to make measurements of mRNA induction, a form of inducible reporter, as detected with fluorescence intensity signals by Reverse transcription polymerase chain reaction (RT-PCR) and Capillary electrophoresis technology.</t>
  </si>
  <si>
    <t>AEID1975_ATG_trERa_XSP2.pdf</t>
  </si>
  <si>
    <t>ESR1</t>
  </si>
  <si>
    <t>estrogen receptor 1</t>
  </si>
  <si>
    <t>20.0|0.8|200.0|0.09|70.0|0.3|7.0|2.0</t>
  </si>
  <si>
    <t>0.6746633816469325|-0.0911886167798454|2.1036270086676736|-0.10621007165488006|1.7301997865281504|-0.21121862986539464|0.38048027724247085|0.08006626188757981</t>
  </si>
  <si>
    <t>steroidal</t>
  </si>
  <si>
    <t>TP0001916H05</t>
  </si>
  <si>
    <t>ATG_zfPPARa_EcoTox2</t>
  </si>
  <si>
    <t>The assay endpoint ATG_zfPPARa_EcoTox2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PPARa.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</si>
  <si>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ATG_zfPPARa_EcoTox2 is one of 29 assay components calculated in the ATG_EcoTox2 assay. It is designed to make measurements of mRNA induction, a form of inducible reporter, as detected with fluorescence intensity signals by Reverse transcription polymerase chain reaction (RT-PCR) and Capillary electrophoresis technology.</t>
  </si>
  <si>
    <t>AEID3115_ATG_zfPPARa_EcoTox2.pdf</t>
  </si>
  <si>
    <t>peroxisome proliferator-activated receptor alpha a</t>
  </si>
  <si>
    <t>0.07|0.6|0.2|2.0|50.0|20.0|20.0|2.0|200.0|0.2|0.07|50.0|200.0|6.0|0.6|6.0</t>
  </si>
  <si>
    <t>-0.22931378798979263|-0.18708555260049523|0.02176781508223555|-0.18847230057602365|0.8225923613018586|-0.044546438953262095|0.04265569725668944|0.019365324866931218|1.9723200731798578|0.47687675309670663|0.2338801004994578|0.6538838526716511|2.066316200904352|-0.2669388602897098|0.273139530946685|0.10925344598571309</t>
  </si>
  <si>
    <t>BSK_BE3C_MMP1</t>
  </si>
  <si>
    <t>Data from the assay component BSK_BE3C_MMP1 was analyzed into 1 assay endpoint. This assay endpoint, BSK_BE3C_MMP1, was analyzed with bidirectional fitting relative to DMSO as the negative control and baseline of activity. 
Using a type of binding reporter, gain or loss-of-signal activity can be used to understand changes in the signaling as they relate to the gene MMP1. 
Furthermore, this assay endpoint can be referred to as a primary readout, because this assay has produced multiple assay endpoints where this one serves a signaling function. 
To generalize the intended target to other relatable targets, this assay endpoint is annotated to the protease intended target family, where the subfamily is matrix metalloproteinase.</t>
  </si>
  <si>
    <t>BSK_BE3C_MMP1 is an assay component measured in the BSK_BE3C assay. It measures MMP-1 antibody related to regulation of gene expression using ELISA technology.</t>
  </si>
  <si>
    <t>AEID194_BSK_BE3C_MMP1.pdf</t>
  </si>
  <si>
    <t>NP_002412.1</t>
  </si>
  <si>
    <t>MMP1</t>
  </si>
  <si>
    <t>matrix metallopeptidase 1 (interstitial collagenase)</t>
  </si>
  <si>
    <t>BSK</t>
  </si>
  <si>
    <t>Bioseek is a division of DiscoveRx Corporation and developed the BioMAP system providing uniquely informative biological activity profiles in complex human primary cell systems.</t>
  </si>
  <si>
    <t>signaling</t>
  </si>
  <si>
    <t>Active with only highest conc above baseline (3*bmad),Average number of replicates per conc &lt; 2,Number of concentrations tested &lt; 4,Efficacy &lt; 50%</t>
  </si>
  <si>
    <t>bronchial epithelial cells</t>
  </si>
  <si>
    <t>60.0|2.0|20.0|7.0</t>
  </si>
  <si>
    <t>0.20105758|0.081743464|0.0439549|0.0</t>
  </si>
  <si>
    <t>matrix metalloproteinase</t>
  </si>
  <si>
    <t>regulation of gene expression</t>
  </si>
  <si>
    <t>ELISA</t>
  </si>
  <si>
    <t>lung</t>
  </si>
  <si>
    <t>EPAPLT0242E07</t>
  </si>
  <si>
    <t>ATG_PPRE_CIS</t>
  </si>
  <si>
    <t>Data from the assay component ATG_PPRE_CIS was analyzed into 1 assay endpoint. 
This assay endpoint, ATG_PPRE_CIS, was analyzed with bidirectional fitting relative to DMSO as the negative control and baseline of activity. 
Using a type of inducible reporter, measures of mRNA for gain or loss-of-signal activity can be used to understand the reporter gene at the transcription factor-level as they relate to the gene PPARA and PPARD and PPARG.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</si>
  <si>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ATG_PPRE_CIS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</si>
  <si>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AEID102_ATG_PPRE_CIS.pdf</t>
  </si>
  <si>
    <t>PPARA | PPARD | PPARG</t>
  </si>
  <si>
    <t>https://www.ncbi.nlm.nih.gov/gene/5465 | undefined | undefined</t>
  </si>
  <si>
    <t>peroxisome proliferator-activated receptor alpha | peroxisome proliferator-activated receptor delta | peroxisome proliferator-activated receptor gamma</t>
  </si>
  <si>
    <t>300.0|10.0|100.0|1.0|10.0|0.1|0.4|30.0|30.0|0.4|1.0|100.0|0.1|4.0|300.0|4.0</t>
  </si>
  <si>
    <t>2.310016042589504|0.4236339844147176|1.2499252904408995|-0.0009095864628201702|0.21075101490105624|-0.06338655662819792|0.29559441028149935|0.4969079787665954|0.7041097660141591|0.09619771580125125|0.1949699537359414|1.1038358109845374|0.3683037325899974|0.04916418195775179|1.9738301416222945|0.3239948360830297</t>
  </si>
  <si>
    <t>TOX21_ERb_BLA_Agonist_viability</t>
  </si>
  <si>
    <t>TOX21_ERb_BLA_Agonist_viability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</si>
  <si>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TOX21_ERb_BLA_Agonist_viability is an assay readout measuring cellular ATP content and detected with CellTiter-Glo Luciferase-coupled ATP quantitation.</t>
  </si>
  <si>
    <t>AEID2116_TOX21_ERb_BLA_Agonist_viability.pdf</t>
  </si>
  <si>
    <t>4.0|2.0|0.03|0.1|0.07|90.0|40.0|20.0|8.0|0.7|0.3|0.07|0.03|0.01|0.006|0.003|0.001|0.003|0.001|20.0|40.0|20.0|8.0|4.0|2.0|0.1|0.07|90.0|0.03|0.01|0.006|2.0|0.7|0.3|0.1|8.0|4.0|90.0|40.0|0.7|0.3|0.001|0.003|0.006|0.01</t>
  </si>
  <si>
    <t>3.1860566769|2.6509854147|-0.96355871|12.339882041|1.3338371923|-41.3907249111|-32.1765323553|-15.641644073|-0.4195586497|0.9393228428|2.7626436143|3.2835000971|-2.8498307892|-7.0049816428|-6.5344478177|-0.0330178389|0.7067486085|0.8568868381|-0.748398518|-16.9738735994|-35.5226698659|-20.8445901052|-4.7676751787|-8.0780525321|4.4094463416|0.3111746549|0.3274479312|-48.4996451468|0.298166444|-0.7207960818|13.1484480268|5.622324305|-1.1767156613|0.3184217915|-5.3866560783|-2.2963517937|0.8022179588|-36.6308274665|-35.2348438956|-1.6397002638|2.9670013218|0.5330467166|0.6689094505|5.5101174655|2.7733813188</t>
  </si>
  <si>
    <t>ATG_AP_1_CIS</t>
  </si>
  <si>
    <t>Data from the assay component ATG_AP_1_CIS was analyzed into 1 assay endpoint. 
This assay endpoint, ATG_AP_1_CIS, was analyzed with bidirectional fitting relative to DMSO as the negative control and baseline of activity. 
Using a type of inducible reporter, measures of mRNA for gain or loss-of-signal activity can be used to understand the reporter gene at the transcription factor-level as they relate to the gene FOS and JUN. 
Furthermore, this assay endpoint can be referred to as a primary readout, because this assay has produced multiple assay endpoints where this one serves a reporter gene function. 
To generalize the intended target to other relatable targets, this assay endpoint is annotated to the dna binding intended target family, where the subfamily is basic leucine zipper.</t>
  </si>
  <si>
    <t>ATG_AP_1_CIS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</si>
  <si>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AEID64_ATG_AP_1_CIS.pdf</t>
  </si>
  <si>
    <t>NP_005243.1</t>
  </si>
  <si>
    <t>FOS | JUN</t>
  </si>
  <si>
    <t>https://www.ncbi.nlm.nih.gov/gene/2353 | undefined</t>
  </si>
  <si>
    <t>FBJ murine osteosarcoma viral oncogene homolog | jun proto-oncogene</t>
  </si>
  <si>
    <t>0.1|1.0|0.4|0.1|100.0|10.0|30.0|30.0|10.0|1.0|300.0|100.0|4.0|0.4|300.0|4.0</t>
  </si>
  <si>
    <t>0.4300623060930304|0.05518804699924367|0.4609232697977926|-0.0032582253843090334|0.35610208429098156|-0.07045608996553893|0.1656906266134399|0.09335540917354615|0.0253624321214291|0.05463747504110825|1.1851522337450784|0.6141875724749798|0.022603837927653192|0.011576815778634085|1.063502942306158|0.2866981309218553</t>
  </si>
  <si>
    <t>ATG_hPPARg_XSP2</t>
  </si>
  <si>
    <t>The assay endpoint ATG_hPPARg_XSP2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PPARg.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</si>
  <si>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ATG_hPPARg_XSP2 is one of 29 assay components measured or calculated from the ATG_XSP2_multi-species_TRANS assay. It is designed to make measurements of mRNA induction, a form of inducible reporter, as detected with fluorescence intensity signals by Reverse transcription polymerase chain reaction (RT-PCR) and Capillary electrophoresis technology.</t>
  </si>
  <si>
    <t>AEID2013_ATG_hPPARg_XSP2.pdf</t>
  </si>
  <si>
    <t>200.0|0.8|0.09|20.0|7.0|0.3|2.0|70.0</t>
  </si>
  <si>
    <t>3.9042480080109296|0.20859562742655013|0.09106904484361898|0.5363775431481064|0.974457435092815|-0.17939945068719787|0.25171202516783714|3.3406095929375077</t>
  </si>
  <si>
    <t>ATG_hPPARg_EcoTox2</t>
  </si>
  <si>
    <t>The assay endpoint ATG_hPPARg_EcoTox2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PPARg.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</si>
  <si>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ATG_hPPARg_EcoTox2 is one of 29 assay components calculated in the ATG_EcoTox2 assay. It is designed to make measurements of mRNA induction, a form of inducible reporter, as detected with fluorescence intensity signals by Reverse transcription polymerase chain reaction (RT-PCR) and Capillary electrophoresis technology.</t>
  </si>
  <si>
    <t>AEID3117_ATG_hPPARg_EcoTox2.pdf</t>
  </si>
  <si>
    <t>0.07|0.6|0.6|0.2|0.07|200.0|20.0|6.0|50.0|2.0|0.2|6.0|50.0|2.0|20.0|200.0</t>
  </si>
  <si>
    <t>0.21922044579005526|0.3127175002342011|0.3096384235680139|0.3792652891752946|0.01576330934589709|4.352548877347543|0.7839551382835103|0.1925990023777947|2.282714907915165|0.2637219764608384|0.3051704886223197|0.15951419966578773|2.022038872137688|0.11405883336553255|0.876344400717895|4.211225535017377</t>
  </si>
  <si>
    <t>BSK_IMphg_IL10</t>
  </si>
  <si>
    <t>Immunosuppression</t>
  </si>
  <si>
    <t>Data from the assay component BSK_IMphg_IL10 was analyzed at the endpoint, BSK_IMphg_IL10,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'cytokine' intended target family, where the subfamily is 'interleukins'.</t>
  </si>
  <si>
    <t>BSK_IMphg_IL10 is an assay component measured in the BSK_IMphg assay. It measures IL-10 antibody related to regulation of gene expression using ELISA technology.</t>
  </si>
  <si>
    <t>AEID2927_BSK_IMphg_IL10.pdf</t>
  </si>
  <si>
    <t>IL10</t>
  </si>
  <si>
    <t>interleukin 10</t>
  </si>
  <si>
    <t>venular endothelial cells and macrophages</t>
  </si>
  <si>
    <t>2.0|20.0|60.0|7.0</t>
  </si>
  <si>
    <t>0.016845766|-0.080741376|-0.2548749|-0.07460183</t>
  </si>
  <si>
    <t>cytokine</t>
  </si>
  <si>
    <t>interleukins</t>
  </si>
  <si>
    <t>vascular</t>
  </si>
  <si>
    <t>UKN5_HCS_SBAD2_cell_viability</t>
  </si>
  <si>
    <t>DNT-IVB</t>
  </si>
  <si>
    <t>The assay endpoint UKN5_HCS_SBAD2_cell_viability was analyzed with bidirectional fitting relative to DMSO as the negative control and baseline of activity. Using a type of viability reporter, gain or loss-of-signal activity can be used to understand viability effects. To generalize the intended target to other relatable targets, this assay endpoint is annotated to the cell cycle intended target family, where the subfamily is viability.</t>
  </si>
  <si>
    <t>UKN5_HCS_SBAD2_cell_viability is an assay component measured from the UKN5_HCS_SBAD2 assay. It is designed to make measurements of enzyme activity, a form of viability reporter, as detected with Fluorescence intensity signals by HCS Fluorescent Imaging.</t>
  </si>
  <si>
    <t>AEID2547_UKN5_HCS_SBAD2_cell_viability.pdf</t>
  </si>
  <si>
    <t>UKN</t>
  </si>
  <si>
    <t>The Leist research group at the University of Konstanz conducts high content imaging assays for neurotoxicity.</t>
  </si>
  <si>
    <t>SBAD2 (peripheral neurons differentiated from iPSC)</t>
  </si>
  <si>
    <t>1000.0|300.0|4.0|40.0|1000.0|40.0|1000.0|100.0|4.0|100.0|10.0|1000.0|300.0|10.0|100.0|10.0|40.0|40.0|100.0|10.0|300.0|10.0|4.0|100.0|1000.0|1000.0|300.0|300.0|40.0|4.0|300.0|40.0|40.0|100.0|4.0|10.0|40.0|300.0|40.0|1000.0|300.0|100.0|100.0|100.0|1000.0|1000.0|300.0|4.0</t>
  </si>
  <si>
    <t>-48.67570685827969|-5.0174618490781295|5.1876178249535325|7.603711046168129|-86.94107426274265|3.850842642526283|-52.83050174407007|3.8074187066219873|-2.4181974872415584|2.837391630263877|-4.326007096092806|-58.832997442139956|-2.860162057173402|1.058637742464136|7.953936759740156|6.758709447346097|-5.916276576572409|-2.3936694252096995|9.24490374320324|1.8625021387452385|6.559755385722232|4.693654084176974|10.348768032695899|5.874808073851909|-38.75800131428432|-52.229547809458275|7.88601152739777|5.627656322325082|7.0590054834810205|6.304026333279119|-5.174474625584352|-4.662722966387889|4.505674579373266|0.6602166240720523|-0.4587031684072114|2.259459404817014|0.31721666250478564|-2.3057991471858363|7.759600325623879|-75.96339614256868|-1.9511207474142522|5.825396308487911|-4.555853215708529|-2.1088705768999745|-76.42071568972972|-49.809885087166386|-6.521728907530338|4.609849380578358</t>
  </si>
  <si>
    <t>nucleus</t>
  </si>
  <si>
    <t>HCS Fluorescent Imaging</t>
  </si>
  <si>
    <t>peripheral nervous system</t>
  </si>
  <si>
    <t>ES213_37_37</t>
  </si>
  <si>
    <t>BSK_BT_PBMCCytotoxicity</t>
  </si>
  <si>
    <t>Data from the assay component BSK_BT_PBMCCytotoxicity  was analyzed at the endpoint, BSK_BT_PBMCCytotoxicity, in the positive analysis fitting direction relative to DMSO as the negative control and baseline of activity. Using a type of  viability reporter, gain or loss-of-signal activity can be used to understand cellular changes in viability. To generalize the intended target to other relatable targets, this assay endpoint is annotated to the 'cell cycle' intended target family, where the subfamily is 'cytotoxicity'.</t>
  </si>
  <si>
    <t>BSK_BT_PBMCCytotoxicity is an assay component measured in the BSK_BT assay. It  measures dehydrogenase activity, a form of viability reporter, as detected with fluorescence intensity signals by Alamar Blue Reduction technology.</t>
  </si>
  <si>
    <t>AEID2811_BSK_BT_PBMCCytotoxicity.pdf</t>
  </si>
  <si>
    <t>Bmd &gt; ac50, indication of high baseline variability,Average number of replicates per conc &lt; 2,Number of concentrations tested &lt; 4,Efficacy &lt; 50%</t>
  </si>
  <si>
    <t>B and peripheral blood mononuclear cells</t>
  </si>
  <si>
    <t>primary cell co-culture</t>
  </si>
  <si>
    <t>2.0|7.0|20.0|60.0</t>
  </si>
  <si>
    <t>0.02184395|-0.021256644|0.065547995|0.12837346</t>
  </si>
  <si>
    <t>cell death</t>
  </si>
  <si>
    <t>Alamar Blue Reduction</t>
  </si>
  <si>
    <t>EPAPLT0242A02</t>
  </si>
  <si>
    <t>ATG_hERb_XSP2</t>
  </si>
  <si>
    <t>The assay endpoint ATG_hERb_XSP2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ER.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</si>
  <si>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ATG_hERb_XSP2 is one of 29 assay components measured or calculated from the ATG_XSP2_multi-species_TRANS assay. It is designed to make measurements of mRNA induction, a form of inducible reporter, as detected with fluorescence intensity signals by Reverse transcription polymerase chain reaction (RT-PCR) and Capillary electrophoresis technology.</t>
  </si>
  <si>
    <t>AEID1977_ATG_hERb_XSP2.pdf</t>
  </si>
  <si>
    <t>NP_001428.1</t>
  </si>
  <si>
    <t>ESR2</t>
  </si>
  <si>
    <t>estrogen receptor 2 (ER beta)</t>
  </si>
  <si>
    <t>Bmd &gt; ac50, indication of high baseline variability,Average number of replicates per conc &lt; 2</t>
  </si>
  <si>
    <t>20.0|70.0|7.0|0.3|0.8|0.09|2.0|200.0</t>
  </si>
  <si>
    <t>0.19581570850544594|0.9746705647287753|-0.08622899011489206|-0.13950331460503662|-0.23296811957463828|-0.02246389341481712|-0.02658604179443248|1.1600887856350797</t>
  </si>
  <si>
    <t>BSK_BF4T_tPA</t>
  </si>
  <si>
    <t>Data from the assay component BSK_BF4T_tPA was analyzed at the endpoint, BSK_BF4T_tPA,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'protease' intended target family, where the subfamily is 'serine protease'.</t>
  </si>
  <si>
    <t>BSK_BF4T_tPA is an assay component measured in the BSK_BF4T assay. It measures tPA antibody related to regulation of gene expression using ELISA technology.</t>
  </si>
  <si>
    <t>AEID2875_BSK_BF4T_tPA.pdf</t>
  </si>
  <si>
    <t>NP_000921.1</t>
  </si>
  <si>
    <t>PLAT</t>
  </si>
  <si>
    <t>plasminogen activator, tissue</t>
  </si>
  <si>
    <t>bronchial epithelial cells and dermal fibroblasts</t>
  </si>
  <si>
    <t>0.02126914|-0.04995645|-0.114758566|-0.029997446</t>
  </si>
  <si>
    <t>serine protease</t>
  </si>
  <si>
    <t>CCTE_Shafer_MEA_dev_bursting_electrodes_number</t>
  </si>
  <si>
    <t>Data from the assay component CCTE_Shafer_MEA_dev_bursting_electrodes_number was analyzed into 1 assay endpoint. This assay endpoint, CCTE_Shafer_MEA_dev_bursting_electrodes_number, was analyzed in the negative analysis fitting direction relative to DMSO as the negative control and baseline of activity. Using a type of functional reporter, gain or loss-of-signal activity can be used to understand electrical activity.</t>
  </si>
  <si>
    <t>CCTE_Shafer_MEA_dev_bursting_electrodes_number is 1 of 19 assay components of the CCTE_Shafer_MEA_dev assay. It measures the number of electrodes in a well with a burst rate of at least 1 burst (temporally-clustered group of action potential firing) every 2 minutes during a recording in a microelectrode array (MEA) using Axion Biosystems Maestro 768 channel amplifier with the AxIS adaptive spike detector. To collapse across multiple recordings made on days post-plating 5, 7, 9 and 12, the trapezoidal area-under-the-curve of the component is calculated.</t>
  </si>
  <si>
    <t>AEID2500_CCTE_Shafer_MEA_dev_bursting_electrodes_number.pdf</t>
  </si>
  <si>
    <t>CCTE_SHAFER</t>
  </si>
  <si>
    <t>The Shafer lab at the EPA Center for Computational Toxicology and Exposure focus on developmental neurotoxicity (DNT) hazard identificaton using microelectrode array (MEA) assays.</t>
  </si>
  <si>
    <t>electrical activity</t>
  </si>
  <si>
    <t>primary cortical cell culture</t>
  </si>
  <si>
    <t>1.0|3.0|3.0|0.1|0.3|3.0|10.0|1.0|10.0|100.0|0.3|30.0|30.0|30.0|0.1|0.1|100.0|0.3|100.0|1.0|10.0</t>
  </si>
  <si>
    <t>16.034985422740526|-14.935064935064934|-12.804878048780488|-12.987012987012985|4.545454545454546|14.285714285714285|-0.6493506493506493|1.2195121951219512|24.78134110787172|-59.183673469387756|18.367346938775512|-57.92682926829268|-50.0|-24.198250728862973|-15.24390243902439|-0.2915451895043732|-25.324675324675322|20.73170731707317|-63.41463414634146|-8.441558441558442|-9.146341463414634</t>
  </si>
  <si>
    <t>neurodevelopment</t>
  </si>
  <si>
    <t>extracellular</t>
  </si>
  <si>
    <t>action potential</t>
  </si>
  <si>
    <t>neural network function: activity</t>
  </si>
  <si>
    <t xml:space="preserve">spontaneous neural activity </t>
  </si>
  <si>
    <t xml:space="preserve">Axion Biosystems Maestro 768 channel amplifier with the AxIS adaptive spike detector </t>
  </si>
  <si>
    <t>cortical</t>
  </si>
  <si>
    <t>ES216_EX000065</t>
  </si>
  <si>
    <t>ATG_PPARa_TRANS</t>
  </si>
  <si>
    <t>Data from the assay component ATG_PPARa_TRANS was analyzed into 1 assay endpoint. 
This assay endpoint, ATG_PPARa_TRANS,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PPARA.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</si>
  <si>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ATG_PPARa_TRANS is one of 30 assay component(s) measured or calculated from the ATG_TRANS assay. It is designed to make measurements of mRNA induction, a form of inducible reporter, as detected with fluorescence intensity signals by Reverse transcription polymerase chain reaction (RT-PCR) and Capillary electrophoresis technology.</t>
  </si>
  <si>
    <t>AEID132_ATG_PPARa_TRANS.pdf</t>
  </si>
  <si>
    <t>10.0|100.0|0.1|1.0|0.4|4.0|300.0|100.0|30.0|30.0|1.0|10.0|0.4|300.0|0.1|4.0</t>
  </si>
  <si>
    <t>1.188610654304628|3.0637710078569387|0.010763753293656265|-0.03573195384432192|-0.1793817253571526|0.13518007787460545|3.451498774328124|2.852755676621272|2.3221725799165593|2.009742208273475|-0.22528150602240204|0.803145028078934|-0.01909281710049821|3.6784749488478776|-0.04984341185201767|0.5222356375324545</t>
  </si>
  <si>
    <t>ATG_mPPARg_XSP2</t>
  </si>
  <si>
    <t>The assay endpoint ATG_mPPARg_XSP2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PPARg.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</si>
  <si>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ATG_mPPARg_XSP2 is one of 29 assay components measured or calculated from the ATG_XSP2_multi-species_TRANS assay. It is designed to make measurements of mRNA induction, a form of inducible reporter, as detected with fluorescence intensity signals by Reverse transcription polymerase chain reaction (RT-PCR) and Capillary electrophoresis technology.</t>
  </si>
  <si>
    <t>AEID2009_ATG_mPPARg_XSP2.pdf</t>
  </si>
  <si>
    <t>Pparg</t>
  </si>
  <si>
    <t>peroxisome proliferator activated receptor gamma</t>
  </si>
  <si>
    <t>0.8|7.0|70.0|200.0|20.0|0.09|0.3|2.0</t>
  </si>
  <si>
    <t>0.04523807277272539|0.27048094245979465|2.697215837675328|3.181095359263307|0.3477055115784282|-0.06727600897328438|-0.19022005658129704|0.014451947353069275</t>
  </si>
  <si>
    <t>CLD_CYP3A4_24hr</t>
  </si>
  <si>
    <t>Data from the assay component CLD_CYP3A4_24hr was analyzed at the endpoint, CLD_CYP3A4_24hr, in the positive analysis fitting direction relative to DMSO as the negative control and baseline of activity. Using a type of inducible reporter, gain-of-signal activity can be used to understand changes in the reporter gene as they relate to the gene CYP3A4. Furthermore, this assay endpoint can be referred to as a primary readout. To generalize the intended target to other relatable targets, this assay endpoint is annotated to the cyp intended target family, where subfamily is xenobiotic metabolism.</t>
  </si>
  <si>
    <t>CLD_CYP3A4_24hr is one of 16 assay component(s) measured or calculated from the CLD_24hr assay. It is designed to make measurements of mRNA induction, a form of inducible reporter, as detected with chemiluminescence signals by Quantitative Nuclease Protection Assay (qNPA) technology.</t>
  </si>
  <si>
    <t>AEID1636_CLD_CYP3A4_24hr.pdf</t>
  </si>
  <si>
    <t>NP_059488.2</t>
  </si>
  <si>
    <t>CYP3A4</t>
  </si>
  <si>
    <t>cytochrome P450, family 3, subfamily A, polypeptide 4</t>
  </si>
  <si>
    <t>0.4|4.0|40.0|40.0|0.004|0.04|0.04|0.4|40.0|4.0|0.004|0.004|40.0|0.04|0.04|0.4|4.0</t>
  </si>
  <si>
    <t>-0.2630344058338001|0.0|1.7369655941661999|1.41503749927884|0.26303440583379034|-0.90689059560852|-0.44745897697122006|1.6629650127224296|1.6629650127224296|0.0|0.09310940439147997|0.18057224564181995|1.22239242133644|0.6780719051126396|0.26303440583379034|-0.2630344058338001|-0.2630344058338001</t>
  </si>
  <si>
    <t>ATG_hRXRb_EcoTox2</t>
  </si>
  <si>
    <t>The assay endpoint ATG_hRXRb_EcoTox2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RXRb.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</si>
  <si>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ATG_hRXRb_EcoTox2 is one of 29 assay components calculated in the ATG_EcoTox2 assay. It is designed to make measurements of mRNA induction, a form of inducible reporter, as detected with fluorescence intensity signals by Reverse transcription polymerase chain reaction (RT-PCR) and Capillary electrophoresis technology.</t>
  </si>
  <si>
    <t>AEID3127_ATG_hRXRb_EcoTox2.pdf</t>
  </si>
  <si>
    <t>NP_068811.1</t>
  </si>
  <si>
    <t>RXRB</t>
  </si>
  <si>
    <t>retinoid X receptor, beta</t>
  </si>
  <si>
    <t>0.6|200.0|20.0|0.2|50.0|0.2|2.0|2.0|200.0|6.0|6.0|0.07|50.0|0.6|20.0|0.07</t>
  </si>
  <si>
    <t>0.032493700917888314|3.2872323536261163|0.8728811210129488|-0.22927016758950086|2.6518222450471964|-0.4987138527598207|0.029312453673208422|0.18959988010270123|3.2872067157089964|0.00264278337482723|0.18893878832128352|-0.07213622066356414|2.3585968049347588|-0.27995677251466233|0.9774346831275716|-0.08324835267367524</t>
  </si>
  <si>
    <t>ATG_frRXRb_EcoTox2</t>
  </si>
  <si>
    <t>The assay endpoint ATG_frRXRb_EcoTox2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RXRb.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</si>
  <si>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ATG_frRXRb_EcoTox2 is one of 29 assay components calculated in the ATG_EcoTox2 assay. It is designed to make measurements of mRNA induction, a form of inducible reporter, as detected with fluorescence intensity signals by Reverse transcription polymerase chain reaction (RT-PCR) and Capillary electrophoresis technology.</t>
  </si>
  <si>
    <t>AEID3129_ATG_frRXRb_EcoTox2.pdf</t>
  </si>
  <si>
    <t>rxrb.L</t>
  </si>
  <si>
    <t>retinoid X receptor beta L homeolog</t>
  </si>
  <si>
    <t>200.0|2.0|0.2|0.07|0.2|2.0|0.6|50.0|20.0|200.0|6.0|0.07|20.0|6.0|0.6|50.0</t>
  </si>
  <si>
    <t>2.593206494816065|-0.05883929801731687|0.06737129905715496|-0.0849086766535732|-0.010511485778601108|-0.002620700159135676|0.02980077753324171|1.875301979700537|0.7975935647334456|2.3573604074101318|0.2939034507545267|-0.2080630525656463|0.43130989196743846|-0.010700428528888627|0.44262085858219047|1.9991294644231932</t>
  </si>
  <si>
    <t>ATG_zfER2b_XSP2</t>
  </si>
  <si>
    <t>The assay endpoint ATG_zfER2b_XSP2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ER.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</si>
  <si>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ATG_zfER2b_XSP2 is one of 29 assay components measured or calculated from the ATG_XSP2_multi-species_TRANS assay. It is designed to make measurements of mRNA induction, a form of inducible reporter, as detected with fluorescence intensity signals by Reverse transcription polymerase chain reaction (RT-PCR) and Capillary electrophoresis technology.</t>
  </si>
  <si>
    <t>AEID1999_ATG_zfER2b_XSP2.pdf</t>
  </si>
  <si>
    <t>esr2b</t>
  </si>
  <si>
    <t>estrogen receptor 2b</t>
  </si>
  <si>
    <t>Active with only highest conc above baseline (3*bmad),Average number of replicates per conc &lt; 2</t>
  </si>
  <si>
    <t>2.0|0.3|0.8|7.0|20.0|200.0|0.09|70.0</t>
  </si>
  <si>
    <t>0.06378819720325427|0.06644082593224708|-0.09447388671348234|-0.07364888166240739|0.0506792533397917|2.3765132326529654|0.10701137396894023|0.507746474101006</t>
  </si>
  <si>
    <t>ATG_frER2_XSP2</t>
  </si>
  <si>
    <t>The assay endpoint ATG_frER2_XSP2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ER.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</si>
  <si>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ATG_frER2_XSP2 is one of 29 assay components measured or calculated from the ATG_XSP2_multi-species_TRANS assay. It is designed to make measurements of mRNA induction, a form of inducible reporter, as detected with fluorescence intensity signals by Reverse transcription polymerase chain reaction (RT-PCR) and Capillary electrophoresis technology.</t>
  </si>
  <si>
    <t>AEID2007_ATG_frER2_XSP2.pdf</t>
  </si>
  <si>
    <t>esr2.L</t>
  </si>
  <si>
    <t>estrogen receptor 2 L homeolog</t>
  </si>
  <si>
    <t>70.0|200.0|7.0|0.09|0.3|0.8|20.0|2.0</t>
  </si>
  <si>
    <t>0.9835636972233217|1.6028844087184186|-0.0036840012550640408|-0.004829558301487529|-0.06184316419105457|-0.05091031995117208|-0.009159131321216154|0.11993038767287581</t>
  </si>
  <si>
    <t>ATG_DR4_LXR_CIS</t>
  </si>
  <si>
    <t>Data from the assay component ATG_DR4_LXR_CIS was analyzed into 1 assay endpoint. 
This assay endpoint, ATG_DR4_LXR_CIS, was analyzed with bidirectional fitting relative to DMSO as the negative control and baseline of activity. 
Using a type of inducible reporter, measures of mRNA for gain or loss-of-signal activity can be used to understand the reporter gene at the transcription factor-level as they relate to the gene NR1H2 and NR1H3.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</si>
  <si>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ATG_DR4_LXR_CIS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</si>
  <si>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AEID70_ATG_DR4_LXR_CIS.pdf</t>
  </si>
  <si>
    <t>NP_009052.4</t>
  </si>
  <si>
    <t>NR1H2 | NR1H3</t>
  </si>
  <si>
    <t>https://www.ncbi.nlm.nih.gov/gene/7376 | undefined</t>
  </si>
  <si>
    <t>nuclear receptor subfamily 1, group H, member 2 | nuclear receptor subfamily 1, group H, member 3</t>
  </si>
  <si>
    <t>1.0|30.0|4.0|0.1|0.4|10.0|100.0</t>
  </si>
  <si>
    <t>-0.3048243702341534|-0.2921912331105726|-0.17507013899579685|-0.07213661665234863|-0.36705267040949113|-0.4972881936953871|-0.9899463353360757</t>
  </si>
  <si>
    <t>CCTE_Shafer_MEA_dev_network_spike_peak</t>
  </si>
  <si>
    <t>Data from the assay component CCTE_Shafer_MEA_dev_network_spike_peak was analyzed into 1 assay endpoint. This assay endpoint, CCTE_Shafer_MEA_dev_network_spike_peak, was analyzed in the negative analysis fitting direction relative to DMSO as the negative control and baseline of activity. Using a type of functional reporter, gain or loss-of-signal activity can be used to understand electrical activity.</t>
  </si>
  <si>
    <t>CCTE_Shafer_MEA_dev_network_spike_peak is 1 of 19 assay components of the CCTE_Shafer_MEA_dev assay. It measures the average number of electrodes participating at the peak of a network spike (the peak of a temporally-clustered group of action potential firing across multiple electrodes) during a recording in a microelectrode array (MEA) using Axion Biosystems Maestro 768 channel amplifier with the AxIS adaptive spike detector. To collapse across multiple recordings made on days post-plating 5, 7, 9 and 12, the trapezoidal area-under-the-curve of the component is calculated.</t>
  </si>
  <si>
    <t>AEID2512_CCTE_Shafer_MEA_dev_network_spike_peak.pdf</t>
  </si>
  <si>
    <t>100.0|10.0|3.0|0.3|0.1|1.0|10.0|100.0|0.3|100.0|30.0|3.0|30.0|0.3|10.0|0.1|1.0|0.1|30.0|1.0|3.0</t>
  </si>
  <si>
    <t>-65.2658583265967|-24.963139060113356|-6.685688208982748|-0.4542370736624614|-13.908704652907733|1.6196263076602797|-21.918020572365826|-48.205217910123935|-0.251403465950691|-19.52479911533912|-50.80443203372782|-7.408439733806094|-27.359694085102916|-6.163241030783057|-2.923096393928716|-2.3970618977367013|-13.00021007792241|-2.0795348454319575|-39.40675220661129|-5.0132436561530955|-3.5912456268814577</t>
  </si>
  <si>
    <t>neural network function: network connectivity</t>
  </si>
  <si>
    <t>functional neural network activity</t>
  </si>
  <si>
    <t>BSK_BT_xTNFa</t>
  </si>
  <si>
    <t>Data from the assay component BSK_BT_xTNFa was analyzed at the endpoint, BSK_BT_xTNFa, in the positive analysis fitting direction relative to DMSO as the negative control and baseline of activity. Using a type of  cytokine quantitation reporter, gain or loss-of-signal activity can be used to understand protein changes. To generalize the intended target to other relatable targets, this assay endpoint is annotated to the 'cytokine' intended target family, where the subfamily is 'inflammatory factor'.</t>
  </si>
  <si>
    <t>BSK_BT_xTNFa is an assay component of the BSK_BT assay. It measures secreted TNF-alpha related to regulation of gene expression using LumineX xMAP technology.</t>
  </si>
  <si>
    <t>AEID2823_BSK_BT_xTNFa.pdf</t>
  </si>
  <si>
    <t>NP_000585.2</t>
  </si>
  <si>
    <t>TNF</t>
  </si>
  <si>
    <t>tumor necrosis factor</t>
  </si>
  <si>
    <t>0.18736148|0.106753685|0.13005254|0.24149643</t>
  </si>
  <si>
    <t>inflammatory factor</t>
  </si>
  <si>
    <t>regulation of gene protein expression</t>
  </si>
  <si>
    <t>LumineX xMAP</t>
  </si>
  <si>
    <t>ATG_hERa_XSP2</t>
  </si>
  <si>
    <t>The assay endpoint ATG_hERa_XSP2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ER.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</si>
  <si>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ATG_hERa_XSP2 is one of 29 assay components measured or calculated from the ATG_XSP2_multi-species_TRANS assay. It is designed to make measurements of mRNA induction, a form of inducible reporter, as detected with fluorescence intensity signals by Reverse transcription polymerase chain reaction (RT-PCR) and Capillary electrophoresis technology.</t>
  </si>
  <si>
    <t>AEID2001_ATG_hERa_XSP2.pdf</t>
  </si>
  <si>
    <t>NP_000116.2</t>
  </si>
  <si>
    <t>0.8|70.0|7.0|20.0|2.0|0.3|200.0|0.09</t>
  </si>
  <si>
    <t>-0.02601151118498478|1.2746878391184913|0.6222100020502241|0.893877771312346|-0.016457204471735563|-0.06487594668942627|1.7277208096889|0.11962084767351414</t>
  </si>
  <si>
    <t>CCTE_GLTED_hTTR_0.125uM</t>
  </si>
  <si>
    <t>Thyroid Bioactivity</t>
  </si>
  <si>
    <t>Data from the assay component CCTE_GLTED_hTTR_0.125uM was analyzed at the assay endpoint CCTE_GLTED_hTTR_0.125uM in the positive analysis fitting direction relative to DMSO as the negative control and baseline of activity. Using a type of binding reporter, loss-of-signal activity can be used to understand a chemical's ability to displace T4 from transthyretin. To generalize the intended target to other relatable targets, this assay endpoint is annotated to the 'transporter' intended target family, where  the subfamily is 'hormone carrier protein'.</t>
  </si>
  <si>
    <t>CCTE_GLTED_hTTR_0.125uM is the assay component measured from the CCTE_GLTED_hTTR assay. It is designed to make measurements of fluorescent polarization, using a form of binding reporter, as detected with Fluorescence signals by Fluorescence technology.</t>
  </si>
  <si>
    <t>AEID3264_CCTE_GLTED_hTTR_0.125uM.pdf</t>
  </si>
  <si>
    <t>TTR</t>
  </si>
  <si>
    <t>transthyretin</t>
  </si>
  <si>
    <t>CCTE_GLTED</t>
  </si>
  <si>
    <t>The EPA CCTE Great Lakes Toxicology and Ecology Division focuses on ecotoxicology and stressors of water resources, including devleopment and implementation of in vitro and in vivo assays.</t>
  </si>
  <si>
    <t>1.0|70.0|1.0|6.0|70.0|30.0|200.0|0.1|0.3|30.0|0.1|0.05|10.0|0.05|0.3|0.02|30.0|0.1|3.0|70.0|0.6|200.0|200.0|3.0|0.3|0.05|3.0|0.6|0.6|0.02|0.02|10.0|6.0|6.0|10.0|1.0</t>
  </si>
  <si>
    <t>92.9255999791085|103.662789279879|92.4061745555637|99.7707708440022|104.308408655163|102.807301595592|104.345599531787|41.041443605881|63.9622503475017|103.727745823062|43.8486112127198|29.4218060331163|103.574363188168|24.0125992878663|63.2018625034237|17.9211175020542|102.658082766357|38.7044645302657|98.4636769332065|103.475831091844|79.0431671584885|103.289509723363|103.538505732118|98.2111613088554|65.3383124853106|25.5712532316611|99.3344289235826|77.5891920891555|76.7981374965763|18.3532238268091|22.3010705489307|102.033799107469|101.744727471926|100.404773718434|101.856736218108|93.4291974801424</t>
  </si>
  <si>
    <t>hormone carrier protein</t>
  </si>
  <si>
    <t>Spectrophotometry</t>
  </si>
  <si>
    <t>EPAPLT0838A07</t>
  </si>
  <si>
    <t>APR_HepG2_MitoMembPot_72hr</t>
  </si>
  <si>
    <t>Data from the assay component APR_HepG2_MitoMembPot_72hr was analyzed into 1 assay endpoint. This assay endpoint, APR_HepG2_MitoMembPot_72hr, was analyzed with bidirectional fitting relative to DMSO as the negative control and baseline of activity. 
Using a type of membrane potential reporter, gain or loss-of-signal activity can be used to understand changes in the signaling. 
Furthermore, this assay endpoint can be referred to as a primary readout, because this assay has produced multiple assay endpoints where this one serves a signaling function. 
To generalize the intended target to other relatable targets, this assay endpoint is annotated to the cell morphology intended target family, where the subfamily is organelle conformation.</t>
  </si>
  <si>
    <t>APR_HepG2_MitoMembPot_72hr is one of 10 assay component(s) measured or calculated from the APR_HepG2_72hr assay. It is designed to make measurements of dye binding, a form of membrane potential reporter, as detected with fluorescence intensity signals by HCS Fluorescent Imaging technology.</t>
  </si>
  <si>
    <t>AEID52_APR_HepG2_MitoMembPot_72hr.pdf</t>
  </si>
  <si>
    <t>APR</t>
  </si>
  <si>
    <t>Apredica, a part of Cyprotex, is a preclinical Contract Research Organization (CRO) that provides services including the CellCiphr High Content Imaging system.</t>
  </si>
  <si>
    <t>200.0|100.0|0.4|50.0|20.0|10.0|6.0|3.0|2.0|0.8</t>
  </si>
  <si>
    <t>-1.23972308219013|-0.46762245813637|0.048089087400253|-0.0353022083400483|0.00581674735812765|-0.0175548623248412|-0.0149949547645975|-0.0100992489019854|-0.0197408722263393|0.0177369677235596</t>
  </si>
  <si>
    <t>cell morphology</t>
  </si>
  <si>
    <t>mitochondria</t>
  </si>
  <si>
    <t>organelle conformation</t>
  </si>
  <si>
    <t>mitochondrial depolarization</t>
  </si>
  <si>
    <t>BSK_IMphg_IL8</t>
  </si>
  <si>
    <t>Data from the assay component BSK_IMphg_IL8 was analyzed at the endpoint, BSK_IMphg_IL8,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'cytokine' intended target family, where the subfamily is 'interleukins'.</t>
  </si>
  <si>
    <t>BSK_IMphg_IL8 is an assay component measured in the BSK_IMphg assay. It measures IL-8 antibody related to regulation of gene expression using ELISA technology.</t>
  </si>
  <si>
    <t>AEID2921_BSK_IMphg_IL8.pdf</t>
  </si>
  <si>
    <t>NP_000575.1</t>
  </si>
  <si>
    <t>CXCL8</t>
  </si>
  <si>
    <t>chemokine (C-X-C motif) ligand 8</t>
  </si>
  <si>
    <t>60.0|20.0|2.0|7.0</t>
  </si>
  <si>
    <t>0.21259856|0.10654518|0.02439692|0.02439692</t>
  </si>
  <si>
    <t>ATG_jmRXRb_EcoTox2</t>
  </si>
  <si>
    <t>The assay endpoint ATG_jmRXRb_EcoTox2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RXRb.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</si>
  <si>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ATG_jmRXRb_EcoTox2 is one of 29 assay components calculated in the ATG_EcoTox2 assay. It is designed to make measurements of mRNA induction, a form of inducible reporter, as detected with fluorescence intensity signals by Reverse transcription polymerase chain reaction (RT-PCR) and Capillary electrophoresis technology.</t>
  </si>
  <si>
    <t>AEID3133_ATG_jmRXRb_EcoTox2.pdf</t>
  </si>
  <si>
    <t>rxrba</t>
  </si>
  <si>
    <t>retinoid x receptor, beta a [ Oryzias latipes (Japanese medaka) ]</t>
  </si>
  <si>
    <t>50.0|0.07|0.07|0.6|200.0|20.0|2.0|6.0|0.2|6.0|0.6|2.0|50.0|20.0|200.0|0.2</t>
  </si>
  <si>
    <t>2.073338894394884|0.3016109913720105|-0.06108742582604204|-0.06827524082031347|2.9466102242439884|1.0424284586343386|0.002190406078771858|0.19564615861098061|0.21589793207163083|0.23632731073818608|0.16689467720604334|0.23845405663780414|2.325106508853557|0.7873908866292341|3.12546741158396|0.041972270475315765</t>
  </si>
  <si>
    <t>TOX21_ERb_BLA_Antagonist_viability</t>
  </si>
  <si>
    <t>TOX21_ERb_BLA_Antagonist_viability used a type of viability reporter where loss-of-signal activity can be used to understand changes in the cell viability.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cytotoxicity.</t>
  </si>
  <si>
    <t>TOX21_ERb_BLA_Antagonist_viability is an assay readout measuring cellular ATP content and detected with CellTiter-Glo Luciferase-coupled ATP quantitation.</t>
  </si>
  <si>
    <t>AEID2120_TOX21_ERb_BLA_Antagonist_viability.pdf</t>
  </si>
  <si>
    <t>0.03|0.01|0.006|0.003|0.001|90.0|40.0|20.0|8.0|0.006|0.03|90.0|40.0|20.0|8.0|4.0|8.0|4.0|0.1|0.07|4.0|2.0|0.7|0.3|0.1|0.07|2.0|0.7|0.3|0.1|0.07|0.03|0.003|0.001|0.7|90.0|40.0|20.0|2.0|0.01|0.006|0.003|0.001|0.3|0.01</t>
  </si>
  <si>
    <t>-2.0486677865|0.4109734617|-1.5852595639|-0.0606939296|0.617191696|-35.1611794624|-25.548721312|-1.4121471669|-1.7743315227|-1.2626009172|-2.9484410053|-20.134433418|-20.1888995172|-8.0767406629|1.2567530599|0.2731026272|5.61442976|-3.1509001442|-1.1105632041|-3.4669336955|0.5421656591|2.8694174474|-3.5831053672|2.6246394276|-1.167246215|-2.4441966139|8.1302469397|3.3340152198|1.2920822261|1.6528775051|0.3081470032|-1.4926714514|2.8714557777|4.8885137467|-8.3759862642|-43.3958666921|-28.0560326984|-6.6575837087|-6.777814612|-2.760276112|-9.0673870782|-3.7543216678|-14.7332831509|-9.362129443|-5.0219072482</t>
  </si>
  <si>
    <t>ATG_hPPARa_EcoTox2</t>
  </si>
  <si>
    <t>The assay endpoint ATG_hPPARa_EcoTox2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PPARa.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</si>
  <si>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ATG_hPPARa_EcoTox2 is one of 29 assay components calculated in the ATG_EcoTox2 assay. It is designed to make measurements of mRNA induction, a form of inducible reporter, as detected with fluorescence intensity signals by Reverse transcription polymerase chain reaction (RT-PCR) and Capillary electrophoresis technology.</t>
  </si>
  <si>
    <t>AEID3107_ATG_hPPARa_EcoTox2.pdf</t>
  </si>
  <si>
    <t>20.0|0.6|50.0|0.07|50.0|0.07|200.0|0.2|0.2|6.0|2.0|2.0|6.0|20.0|200.0|0.6</t>
  </si>
  <si>
    <t>2.070238882608307|0.4550211698058852|2.7331927675766883|-0.1429053016991608|2.930785674028649|-0.1415469317614374|3.1748309402413755|0.16669199127748205|-0.04249642752217097|0.7704818409349361|0.7863216238874584|0.06000064639985104|0.957503572477829|2.1762741263959136|3.29790244165817|0.08678658942279575</t>
  </si>
  <si>
    <t>CCTE_Padilla_ZF_Score.Swim_bladder</t>
  </si>
  <si>
    <t>Developmental Toxicity,Non-mammalian Vertebrate</t>
  </si>
  <si>
    <t>Data from the assay component CCTE_Padilla_ZF_Score.Swim_bladder was analyzed into 1 assay endpoints. This assay endpoint, CCTE_Padilla_ZF_Score.Swim_bladder, was analyzed in the positive analysis fitting direction relative to DMSO as the negative control and baseline of activity. Using a type of viability reporter,  gain-of-signal activity can be used to understand changes in developmentals as they relate to the whole embryo. To generalize the intended target to other relatable targets, this assay endpoint is annotated to the zebrafish development intended target family, where the subfamily is swim bladder morphogenesis.</t>
  </si>
  <si>
    <t>CCTE_Padilla_ZF_Score.Swim_bladder is one of one assay component(s) measured or calculated from the CCTE_Padilla_ZF_Phenotype_Score assay. It is designed to make measurements of zebrafish development as detected with brightfield microscopy of developing zebrafish embryos.</t>
  </si>
  <si>
    <t>AEID3214_CCTE_Padilla_ZF_Score.Swim_bladder.pdf</t>
  </si>
  <si>
    <t>CCTE_PADILLA</t>
  </si>
  <si>
    <t>The Padilla laboratory at the EPA Center for Computational Toxicology focuses on the development and screening of zebrafish assays.</t>
  </si>
  <si>
    <t>developmental</t>
  </si>
  <si>
    <t>Borderline,Average number of replicates per conc &lt; 2,Efficacy &lt; 50%</t>
  </si>
  <si>
    <t>zebrafish</t>
  </si>
  <si>
    <t>whole embryo</t>
  </si>
  <si>
    <t>0.1|3.0|30.0|0.3|0.03|10.0|100.0|1.0</t>
  </si>
  <si>
    <t>0.0|16.666666666666664|16.666666666666664|0.0|0.0|0.0|0.0|0.0</t>
  </si>
  <si>
    <t>zebrafish development</t>
  </si>
  <si>
    <t>organism</t>
  </si>
  <si>
    <t>malformation</t>
  </si>
  <si>
    <t>swim bladder morphogenesis</t>
  </si>
  <si>
    <t>regulation of development</t>
  </si>
  <si>
    <t>light microscopy</t>
  </si>
  <si>
    <t>CCTE_Padilla_ZF_Score.General</t>
  </si>
  <si>
    <t>Data from the assay component CCTE_Padilla_ZF_Score.General was analyzed into 1 assay endpoints. This assay endpoint, CCTE_Padilla_ZF_Score.General, was analyzed in the positive analysis fitting direction relative to DMSO as the negative control and baseline of activity. Using a type of viability reporter,  gain-of-signal activity can be used to understand changes in developmentals as they relate to the whole embryo. To generalize the intended target to other relatable targets, this assay endpoint is annotated to the zebrafish development intended target family, where the subfamily is embryonic morphogenesis.</t>
  </si>
  <si>
    <t>CCTE_Padilla_ZF_Score.General is one of one assay component(s) measured or calculated from the CCTE_Padilla_ZF_Phenotype_Score assay. It is designed to make measurements of zebrafish development as detected with brightfield microscopy of developing zebrafish embryos.</t>
  </si>
  <si>
    <t>AEID3213_CCTE_Padilla_ZF_Score.General.pdf</t>
  </si>
  <si>
    <t>100.0|0.03|0.3|30.0|1.0|10.0|0.1|3.0</t>
  </si>
  <si>
    <t>0.0|0.0|0.0|16.666666666666664|0.0|0.0|0.0|16.666666666666664</t>
  </si>
  <si>
    <t>embryonic morphogenesis</t>
  </si>
  <si>
    <t>UKN5_HCS_SBAD2_neurite_outgrowth</t>
  </si>
  <si>
    <t>The assay endpoint UKN5_HCS_SBAD2_neurite_outgrowth was analyzed with bidirectional fitting relative to DMSO as the negative control and baseline of activity. Using a type of morphology reporter, gain or loss-of-signal activity can be used to understand developmental effects. To generalize the intended target to other relatable targets, this assay endpoint is annotated to the neurodevelopment intended target family, where the subfamily is neurite outgrowth.</t>
  </si>
  <si>
    <t>UKN5_HCS_SBAD2_neurite_outgrowth is an assay component measured from the UKN5_HCS_SBAD2 assay. It is designed to make measurements of neurite outgrowth, a form of morphology reporter, as detected with Fluorescence intensity signals by HCS Fluorescent Imaging.</t>
  </si>
  <si>
    <t>AEID2545_UKN5_HCS_SBAD2_neurite_outgrowth.pdf</t>
  </si>
  <si>
    <t>40.0|4.0|4.0|100.0|300.0|40.0|1000.0|10.0|100.0|40.0|1000.0|100.0|10.0|1000.0|4.0|1000.0|1000.0|300.0|40.0|10.0|100.0|4.0|100.0|300.0|40.0|40.0|100.0|4.0|300.0|300.0|1000.0|10.0|100.0|40.0|40.0|1000.0|1000.0|40.0|300.0|10.0|300.0|100.0|100.0|300.0|4.0|1000.0|10.0|300.0</t>
  </si>
  <si>
    <t>-2.607382835837037|7.708310913498785|5.359363472537697|12.71211705684754|-13.809013146234514|-7.342798532717684|-66.99103006299154|6.058184782299441|-6.137177609718479|-11.992090670030658|-67.06525929619184|-11.34897773174483|3.9787424126365387|-67.16391099464252|-1.834524539021246|-88.05031903732755|-54.13548061215479|-8.444436370418785|-8.074678727369806|-10.153823041451602|-6.212074426705028|-5.6383096316753125|6.053456571293235|6.749254556577805|1.035830436941418|3.8217675808638205|-15.453422456771488|-3.2361489540923354|-1.7590477392971513|6.754169165457458|-69.86351786023879|15.348536179719318|-10.569257624054915|3.3727561234964036|22.51169042411639|-86.986493189315|-65.83908193779794|8.089399990910135|-14.355832671937199|1.2737502113336292|4.539028765746996|9.186331937705559|1.209256734951809|3.868034183650346|-1.6543810776965924|-92.34125315920406|-11.144379161759476|16.234592280482378</t>
  </si>
  <si>
    <t>neurite outgrowth</t>
  </si>
  <si>
    <t>BSK_LPS_CD69</t>
  </si>
  <si>
    <t>Data from the assay component BSK_LPS_CD69 was analyzed at the endpoint, BSK_LPS_CD69,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'cytokine' intended target family, where the subfamily is 'inflammatory factor'.</t>
  </si>
  <si>
    <t>BSK_LPS_CD69 is an assay component measured in the BSK_LPS assay. It measures CD69 antibody related to regulation of gene expression using ELISA technology.</t>
  </si>
  <si>
    <t>AEID2935_BSK_LPS_CD69.pdf</t>
  </si>
  <si>
    <t>NP_001772.1</t>
  </si>
  <si>
    <t>CD69</t>
  </si>
  <si>
    <t>CD69 molecule</t>
  </si>
  <si>
    <t>Bmd &gt; ac50, indication of high baseline variability,Average number of replicates per conc &lt; 2,Number of concentrations tested &lt; 4,Gain AC50 &lt; lowest conc &amp; loss AC50 &lt; mean conc,Efficacy &lt; 50%,AC50 &lt; lowest concentration tested</t>
  </si>
  <si>
    <t>umbilical vein endothelium and peripheral blood mononuclear cells</t>
  </si>
  <si>
    <t>0.13172042|0.111620955|0.07961206|0.03969323</t>
  </si>
  <si>
    <t>BSK_BT_Bcell_Proliferation</t>
  </si>
  <si>
    <t>Data from the assay component BSK_BT_Bcell_Proliferation  was analyzed at the endpoint, BSK_BT_Bcell_Proliferation, in the positive analysis fitting direction relative to DMSO as the negative control and baseline of activity. Using a type of  viability reporter, gain or loss-of-signal activity can be used to understand cellular changes in viability. To generalize the intended target to other relatable targets, this assay endpoint is annotated to the 'cell cycle' intended target family, where the subfamily is 'proliferation'.</t>
  </si>
  <si>
    <t>BSK_BT_Bcell_Proliferation is an assay component measured in the BSK_BT assay. It measures protein content, a form of viability reporter, as detected with absorbance signals by Sulforhodamine staining technology.</t>
  </si>
  <si>
    <t>AEID2809_BSK_BT_Bcell_Proliferation.pdf</t>
  </si>
  <si>
    <t>20.0|2.0|60.0|7.0</t>
  </si>
  <si>
    <t>0.0416656|-0.0011829378|0.10402217|0.007007851</t>
  </si>
  <si>
    <t>proliferation</t>
  </si>
  <si>
    <t>Sulforhodamine staining</t>
  </si>
  <si>
    <t>ATG_hERa_EcoTox2</t>
  </si>
  <si>
    <t>The assay endpoint ATG_hERa_EcoTox2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ER.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</si>
  <si>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ATG_hERa_EcoTox2 is one of 29 assay components measured or calculated from the ATG_EcoTox2 assay. It is designed to make measurements of mRNA induction, a form of inducible reporter, as detected with fluorescence intensity signals by Reverse transcription polymerase chain reaction (RT-PCR) and Capillary electrophoresis technology.</t>
  </si>
  <si>
    <t>AEID3137_ATG_hERa_EcoTox2.pdf</t>
  </si>
  <si>
    <t>2.0|0.6|50.0|0.2|0.2|6.0|0.07|200.0|6.0|20.0|2.0|0.6|0.07|200.0|20.0|50.0</t>
  </si>
  <si>
    <t>-0.13327517635652578|-0.009950587776352368|1.6187508141774396|-0.3892720314503852|-0.22924609237751056|0.014135030747960693|-0.19209309396004434|2.9406372180985696|-0.11087673558429065|0.34732862285092675|-0.09364460587195012|0.08681567709542189|0.033118134115533465|3.0259261956833132|0.8282983422270354|1.5008124703492314</t>
  </si>
  <si>
    <t>TOX21_ARE_BLA_Agonist_ratio</t>
  </si>
  <si>
    <t>Data from the assay component TOX21_ARE_BLA_Agonist_ratio was analyzed into 1 assay endpoint.  This assay endpoint, TOX21_ARE_BLA_Agonist_ratio, was analyzed in the positive analysis fitting direction relative to DMSO as the negative control and baseline of activity.  Using a type of inducible reporter, gain-of-signal activity can be used to understand changes in the reporter gene as they relate to the gene NFE2L2. Furthermore, this assay endpoint can be referred to as a primary readout, because this assay has produced multiple assay endpoints and this ratio serves a reporter gene function to understand target activity.  To generalize the intended target to other relatable targets, this assay endpoint is annotated to the DNA binding intended target family, where the subfamily is basic leucine zipper.</t>
  </si>
  <si>
    <t>TOX21_ARE_BLA_Agonist_ratio is an assay readout measuring reporter gene via receptor activity and designed using inducible reporter (beta lactamase induction) detected with GAL4 b-lactamase reporter gene. The signal is derived from the ratio of cleaved (ch2) to uncleaved (ch1) reporter gene substrate used as the measure of target activity.</t>
  </si>
  <si>
    <t>AEID1110_TOX21_ARE_BLA_Agonist_ratio.pdf</t>
  </si>
  <si>
    <t>NP_006155.2</t>
  </si>
  <si>
    <t>NFE2L2</t>
  </si>
  <si>
    <t>nuclear factor, erythroid 2-like 2</t>
  </si>
  <si>
    <t>0.07|0.07|90.0|0.006|0.3|0.07|0.1|0.006|0.01|4.0|0.01|0.003|90.0|8.0|2.0|0.001|2.0|4.0|0.003|90.0|20.0|0.1|8.0|0.003|0.3|0.001|8.0|0.006|0.03|40.0|0.7|2.0|20.0|40.0|20.0|40.0|0.1|0.3|0.01|0.03|4.0|0.03|0.7|0.001|0.7</t>
  </si>
  <si>
    <t>-1.6907134641|0.1436552274|11.302532509|0.8463429541|8.4242898054|-0.9127232582|-5.2016831874|-7.8129536908|4.3110335928|1.921189174|3.1944228875|2.9359062715|54.1890934825|-7.6559823896|-7.5655715163|-2.0191262714|1.2252964426|-10.6474584784|2.0842638081|88.8893081088|19.7780603235|9.1137738843|7.4263557114|-0.733468396|1.7923940149|-0.0974387527|9.435043711|-2.3000660938|0.866255414|43.9800337848|3.8354499622|-10.9164129832|21.4956907866|40.0201958146|2.2870673145|30.2455451797|-9.7133598485|0.3621782434|2.182251025|1.2640522253|-6.255233614|1.2459434662|-5.412990395|-2.0864180911|-2.8907782865</t>
  </si>
  <si>
    <t>ATG_zfER2a_XSP2</t>
  </si>
  <si>
    <t>The assay endpoint ATG_zfER2a_XSP2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ER.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</si>
  <si>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ATG_zfER2a_XSP2 is one of 29 assay components measured or calculated from the ATG_XSP2_multi-species_TRANS assay. It is designed to make measurements of mRNA induction, a form of inducible reporter, as detected with fluorescence intensity signals by Reverse transcription polymerase chain reaction (RT-PCR) and Capillary electrophoresis technology.</t>
  </si>
  <si>
    <t>AEID1987_ATG_zfER2a_XSP2.pdf</t>
  </si>
  <si>
    <t>esr2a</t>
  </si>
  <si>
    <t>estrogen receptor 2a</t>
  </si>
  <si>
    <t>Active with only highest conc above baseline (3*bmad),Bmd &gt; ac50, indication of high baseline variability,Average number of replicates per conc &lt; 2</t>
  </si>
  <si>
    <t>70.0|0.09|200.0|7.0|20.0|2.0|0.3|0.8</t>
  </si>
  <si>
    <t>0.2785422362781824|0.11123818099292758|0.7436322294360969|0.08699668120270387|0.08035049288650223|-0.05815365567448522|0.003442479617956782|-0.17697431616879214</t>
  </si>
  <si>
    <t>ATG_frER1_EcoTox2</t>
  </si>
  <si>
    <t>The assay endpoint ATG_frER1_EcoTox2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ER.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</si>
  <si>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ATG_frER1_EcoTox2 is one of 29 assay components calculated in the ATG_EcoTox2 assay. It is designed to make measurements of mRNA induction, a form of inducible reporter, as detected with fluorescence intensity signals by Reverse transcription polymerase chain reaction (RT-PCR) and Capillary electrophoresis technology.</t>
  </si>
  <si>
    <t>AEID3141_ATG_frER1_EcoTox2.pdf</t>
  </si>
  <si>
    <t>esr1.L</t>
  </si>
  <si>
    <t>estrogen receptor 1 L homeolog</t>
  </si>
  <si>
    <t>6.0|20.0|0.07|0.07|20.0|6.0|2.0|200.0|2.0|200.0|50.0|50.0|0.2|0.6|0.2|0.6</t>
  </si>
  <si>
    <t>-0.15268344952504337|0.2731586231075011|-0.06255438123440196|-0.0559334461019537|-0.01848317859974661|-0.039133314003785995|-0.16561352496370305|0.8597390502802835|0.09285430845926539|1.0331437732407969|0.47230469995169433|0.3939683815732543|-0.039133314003785995|-0.028854862672185146|0.0020391452735985063|0.38630578073552774</t>
  </si>
  <si>
    <t>TOX21_ERb_BLA_Antagonist_ratio</t>
  </si>
  <si>
    <t>Data from the assay component TOX21_ERb_BLA_Antagonist_ratio was analyzed into 1 assay endpoint. This assay endpoint, TOX21_ERb_BLA_Antagonist_ratio, was analyzed in the positive analysis fitting direction relative to DMSO as the negative control and baseline of activity. Using a type of inducible reporter, loss-of-signal activity can be used to understand changes in the reporter gene as they relate to the gene ESR2. Furthermore, this assay endpoint can be referred to as a primary readout, because this assay has produced multiple assay endpoints and this ratio serves a reporter gene function to understand target activity. To generalize the intended target to other relatable targets, this assay endpoint is annotated to the nuclear receptor intended target family, where the subfamily is steroidal.</t>
  </si>
  <si>
    <t xml:space="preserve">TOX21_ERb_BLA_Antagonist_ratio is an assay readout measuring reporter gene via receptor activity and designed using inducible reporter (beta lactamase induction) detected with GAL4 b-lactamase reporter gene. The signal is derived from the ratio of cleaved (ch2) to uncleaved (ch1) reporter gene substrate used as the measure of target activity. </t>
  </si>
  <si>
    <t>AEID2119_TOX21_ERb_BLA_Antagonist_ratio.pdf</t>
  </si>
  <si>
    <t>0.7|0.3|0.1|0.07|2.0|0.7|0.03|0.01|0.006|0.003|0.001|90.0|40.0|20.0|8.0|0.003|0.001|0.3|0.01|0.006|0.03|90.0|40.0|20.0|8.0|4.0|8.0|4.0|0.1|0.07|4.0|2.0|0.3|0.1|0.07|0.03|0.003|0.001|0.7|90.0|40.0|20.0|2.0|0.01|0.006</t>
  </si>
  <si>
    <t>2.3139195714|5.6743185078|5.3484044386|2.1431611628|10.2593184862|4.7792403829|6.0454450699|3.8703802079|3.1360424028|3.3363328026|4.3743924454|-49.7086879059|-36.0638503099|6.8020857654|0.0698974836|7.1577213562|9.7244519469|2.1867769957|0.9828359803|1.4892218693|2.1087425267|-49.4639559822|-27.2213349496|0.3393149442|2.2836122432|9.7735839026|0.1249599245|7.1775519368|0.5334478355|5.6179755744|2.6729391639|2.5307630587|1.4599979059|0.34205088|1.933298522|1.2995123189|4.6323093651|5.4172573318|2.8660991952|-52.5841331549|-19.6574642667|3.0509365292|1.1567289828|3.1025570368|-0.0049043353</t>
  </si>
  <si>
    <t>ATG_RXRb_TRANS</t>
  </si>
  <si>
    <t>Data from the assay component ATG_RXRb_TRANS was analyzed into 1 assay endpoint. This assay endpoint, ATG_RXRb_TRANS,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RXRB.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</si>
  <si>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ATG_RXRb_TRANS is one of 30 assay component(s) measured or calculated from the ATG_TRANS assay. It is designed to make measurements of mRNA induction, a form of inducible reporter, as detected with fluorescence intensity signals by Reverse transcription polymerase chain reaction (RT-PCR) and Capillary electrophoresis technology.</t>
  </si>
  <si>
    <t>AEID142_ATG_RXRb_TRANS.pdf</t>
  </si>
  <si>
    <t>1.0|4.0|100.0|300.0|30.0|0.1|0.1|10.0|100.0|1.0|30.0|300.0|0.4|0.4|10.0|4.0</t>
  </si>
  <si>
    <t>0.2368871387740445|0.18350720440718427|2.446037511097432|3.549344206654716|1.3805124393874728|0.18844819945052607|0.028661480368757083|0.3364407353730136|2.6539389004790235|0.184698850658906|0.8829375665668346|3.4372384893703276|0.26079401575139527|-0.031895128637479384|0.487242755881949|-0.010246565332716454</t>
  </si>
  <si>
    <t>CCTE_GLTED_hTTR_0.5uM</t>
  </si>
  <si>
    <t>Data from the assay component CCTE_GLTED_hTTR_0.5uM was analyzed at the assay endpoint CCTE_GLTED_hTTR_0.5uM in the positive analysis fitting direction relative to DMSO as the negative control and baseline of activity. Using a type of binding reporter, loss-of-signal activity can be used to understand a chemical's ability to displace T4 from transthyretin. To generalize the intended target to other relatable targets, this assay endpoint is annotated to the 'transporter' intended target family, where  the subfamily is 'hormone carrier protein'.</t>
  </si>
  <si>
    <t>CCTE_GLTED_hTTR_0.5uM is the assay component measured from the CCTE_GLTED_hTTR assay. It is designed to make measurements of fluorescent polarization, using a form of binding reporter, as detected with Fluorescence signals by Fluorescence technology.</t>
  </si>
  <si>
    <t>AEID3089_CCTE_GLTED_hTTR_0.5uM.pdf</t>
  </si>
  <si>
    <t>0.1|0.6|0.3|6.0|1.0|0.02|0.05|6.0|0.05|0.6|3.0|0.1|6.0|0.1|0.3|0.02|1.0|3.0|0.02|1.0|0.6|3.0|0.3|0.05</t>
  </si>
  <si>
    <t>-8.356158710815|65.9175210161089|26.9286081447128|99.3702983686924|84.2375357716411|9.7670924117205|11.136615060608|98.6756611586954|12.8073326672173|67.3864955556967|96.4149872610696|18.4901650627287|98.6204203813366|17.5230878522378|29.9823707692865|7.9096079307388|83.2346672981293|95.345989339612|8.1522209965173|83.7094837224986|70.8526027264933|95.3287167254813|28.8546294598224|15.7642754506925</t>
  </si>
  <si>
    <t>EPAPLT0228C12</t>
  </si>
  <si>
    <t>CLD_CYP3A4_48hr</t>
  </si>
  <si>
    <t>Data from the assay component CLD_CYP3A4_48hr was analyzed at the endpoint, CLD_CYP3A4_48hr, in the positive analysis fitting direction relative to DMSO as the negative control and baseline of activity. Using a type of inducible reporter, gain-of-signal activity can be used to understand changes in the reporter gene as they relate to the gene CYP3A4. Furthermore, this assay endpoint can be referred to as a primary readout. To generalize the intended target to other relatable targets, this assay endpoint is annotated to the cyp intended target family, where subfamily is xenobiotic metabolism.</t>
  </si>
  <si>
    <t>CLD_CYP3A4_48hr is one of 16 assay component(s) measured or calculated from the CLD_48hr assay. It is designed to make measurements of mRNA induction, a form of inducible reporter, as detected with chemiluminescence signals by Quantitative Nuclease Protection Assay (qNPA) technology.</t>
  </si>
  <si>
    <t>AEID1652_CLD_CYP3A4_48hr.pdf</t>
  </si>
  <si>
    <t>0.4|4.0|0.04|40.0|40.0|0.4|0.004|4.0|0.04|40.0|0.4|0.004|4.0|0.04|40.0|0.4|0.004|4.0</t>
  </si>
  <si>
    <t>-0.3665566343352995|-0.025519716500229883|0.32192809488735996|1.2184058663858508|2.2022862010225808|0.18598438869348044|0.16992500144230993|1.8140156113065204|0.0|1.4269924881972704|1.39897811202768|-0.67807190511264|0.9360061356851306|0.32192809488735996|1.7038326935561008|0.9360061356851306|0.0|1.3704089598309004</t>
  </si>
  <si>
    <t>ATG_ERa_TRANS</t>
  </si>
  <si>
    <t>ToxCast ER Pathway Model</t>
  </si>
  <si>
    <t>Data from the assay component ATG_ERa_TRANS was analyzed into 1 assay endpoint. 
This assay endpoint, ATG_ERa_TRANS,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ESR1.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</si>
  <si>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ATG_ERa_TRANS is one of 30 assay component(s) measured or calculated from the ATG_TRANS assay. It is designed to make measurements of mRNA induction, a form of inducible reporter, as detected with fluorescence intensity signals by Reverse transcription polymerase chain reaction (RT-PCR) and Capillary electrophoresis technology.</t>
  </si>
  <si>
    <t>AEID117_ATG_ERa_TRANS.pdf</t>
  </si>
  <si>
    <t>0.4|300.0|0.1|10.0|30.0|0.1|100.0|4.0|1.0|4.0|1.0|30.0|100.0|10.0|300.0|0.4</t>
  </si>
  <si>
    <t>-0.025349184247502|3.148599991405404|0.06393445539636547|2.6854950730267526|2.5102355581664137|-0.005722716908263519|2.827762701732826|0.06470042039491584|0.20331734959536307|-0.015696186849521697|0.14444430242210266|2.7573833869593787|2.8912913569009104|2.429221796204536|3.292790816879035|0.16088544948362893</t>
  </si>
  <si>
    <t>BSK_3C_IL8</t>
  </si>
  <si>
    <t>Data from the assay component BSK_3C_IL8 was analyzed into 1 assay endpoint. This assay endpoint, BSK_3C_IL8, was analyzed with bidirectional fitting relative to DMSO as the negative control and baseline of activity. 
Using a type of binding reporter, gain or loss-of-signal activity can be used to understand changes in the signaling as they relate to the gene CXCL8. 
Furthermore, this assay endpoint can be referred to as a primary readout, because this assay has produced multiple assay endpoints where this one serves a signaling function. 
To generalize the intended target to other relatable targets, this assay endpoint is annotated to the cytokine intended target family, where the subfamily is interleukins.</t>
  </si>
  <si>
    <t>BSK_3C_IL8 is an assay component measured in the BSK_3C assay. It measures IL-8 antibody related to regulation of gene expression using ELISA technology.</t>
  </si>
  <si>
    <t>AEID152_BSK_3C_IL8.pdf</t>
  </si>
  <si>
    <t>Active with only highest conc above baseline (3*bmad),Bmd &gt; ac50, indication of high baseline variability,Average number of replicates per conc &lt; 2,Number of concentrations tested &lt; 4,Efficacy &lt; 50%</t>
  </si>
  <si>
    <t>umbilical vein endothelium</t>
  </si>
  <si>
    <t>0.07669931|0.039690316|0.15787864|0.0543928</t>
  </si>
  <si>
    <t>ATG_TCF_b_cat_CIS</t>
  </si>
  <si>
    <t>Data from the assay component ATG_TCF_b_cat_CIS was analyzed into 1 assay endpoint. 
This assay endpoint, ATG_TCF_b_cat_CIS, was analyzed with bidirectional fitting relative to DMSO as the negative control and baseline of activity. 
Using a type of inducible reporter, measures of mRNA for gain or loss-of-signal activity can be used to understand the reporter gene at the transcription factor-level as they relate to the gene TCF7 and TCF7L2 and LEF1 and TCF7L1. 
Furthermore, this assay endpoint can be referred to as a primary readout, because this assay has produced multiple assay endpoints where this one serves a reporter gene function. 
To generalize the intended target to other relatable targets, this assay endpoint is annotated to the dna binding intended target family, where the subfamily is HMG box protein.</t>
  </si>
  <si>
    <t>ATG_TCF_b_cat_CIS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</si>
  <si>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AEID111_ATG_TCF_b_cat_CIS.pdf</t>
  </si>
  <si>
    <t>NP_112573.1</t>
  </si>
  <si>
    <t>TCF7 | TCF7L2 | LEF1 | TCF7L1</t>
  </si>
  <si>
    <t>https://www.ncbi.nlm.nih.gov/gene/6932 | undefined | undefined | undefined</t>
  </si>
  <si>
    <t>transcription factor 7 (T-cell specific, HMG-box) | transcription factor 7-like 2 (T-cell specific, HMG-box) | lymphoid enhancer-binding factor 1 | transcription factor 7-like 1 (T-cell specific, HMG-box)</t>
  </si>
  <si>
    <t>Active with only highest conc above baseline (3*bmad)</t>
  </si>
  <si>
    <t>10.0|4.0|30.0|100.0|0.1|300.0|1.0|0.4|4.0|0.4|0.1|30.0|10.0|300.0|100.0|1.0</t>
  </si>
  <si>
    <t>0.012622084369104362|0.03974617879274963|-0.010964703776295685|-0.08924946072435362|-0.14482386784074516|-0.8439838440483277|0.4421836412919614|-0.12928301694496686|-0.09365910721424525|0.27107172489921805|0.3939284726847485|0.2052671623115072|-0.026285503060052368|-1.628384781012287|-0.14105758688332798|-0.02494635713023068</t>
  </si>
  <si>
    <t>HMG box protein</t>
  </si>
  <si>
    <t>APR_HepG2_CellLoss_72hr</t>
  </si>
  <si>
    <t>Data from the assay component APR_HepG2_CellLoss_72hr was analyzed into 1 assay endpoint. 
This assay endpoint, APR_HepG2_CellLoss_72hr, was analyzed with bidirectional fitting relative to DMSO as the negative control and baseline of activity. 
Using a type of viability reporter, measures of all nuclear dna for gain or loss-of-signal activity can be used to understand the viability at the cellular-level. 
Furthermore, this assay endpoint can be referred to as a secondary readout, because this assay has produced multiple assay endpoints where this one serves a viability function. 
To generalize the intended target to other relatable targets, this assay endpoint is annotated to the cell cycle intended target family, where the subfamily is proliferation.</t>
  </si>
  <si>
    <t>APR_HepG2_CellLoss_72hr is one of 10 assay component(s) measured or calculated from the APR_HepG2_72hr assay. It is designed to make measurements of cell number, a form of viability reporter, as detected with fluorescence intensity signals by HCS Fluorescent Imaging technology.</t>
  </si>
  <si>
    <t>AEID46_APR_HepG2_CellLoss_72hr.pdf</t>
  </si>
  <si>
    <t xml:space="preserve">12  | 48  | 17  | 38  | 13  | 212 </t>
  </si>
  <si>
    <t xml:space="preserve">55 1505 </t>
  </si>
  <si>
    <t>0.4|200.0|20.0|100.0|0.4|10.0|50.0|6.0|20.0|3.0|10.0|2.0|6.0|200.0|0.8|3.0|100.0|2.0|50.0|0.8</t>
  </si>
  <si>
    <t>-0.154664806405929|-1.33028661857984|-0.0914096663473994|-0.599719390889049|-0.0999089944629412|-0.157403191178725|-0.0978343869534488|-0.106338177162431|0.000997089763243715|-0.00229281313138254|-0.0206951287943792|-0.0228903147746481|-0.00920001656095614|-1.21191841523003|-0.114795621045308|-0.0280181762651615|-0.541232787162586|-0.0789684155227924|-0.117806338882008|-0.0964148588192116</t>
  </si>
  <si>
    <t>CCTE_Padilla_ZF_Score.Any</t>
  </si>
  <si>
    <t>Data from the assay component CCTE_Padilla_ZF_Score.Any was analyzed into 1 assay endpoints. This assay endpoint, CCTE_Padilla_ZF_Score.Any, was analyzed in the positive analysis fitting direction relative to DMSO as the negative control and baseline of activity. Using a type of viability reporter,  gain-of-signal activity can be used to understand changes in developmentals as they relate to the whole embryo. To generalize the intended target to other relatable targets, this assay endpoint is annotated to the zebrafish development intended target family, where the subfamily is embryonic morphogenesis and mortality.</t>
  </si>
  <si>
    <t>CCTE_Padilla_ZF_Score.Any is one of one assay component(s) measured or calculated from the CCTE_Padilla_ZF_Phenotype_Score assay. It is designed to make measurements of zebrafish development as detected with brightfield microscopy of developing zebrafish embryos.</t>
  </si>
  <si>
    <t>AEID3222_CCTE_Padilla_ZF_Score.Any.pdf</t>
  </si>
  <si>
    <t>0.1|3.0|0.3|10.0|30.0|100.0|1.0|0.03</t>
  </si>
  <si>
    <t>0.0|16.666666666666664|0.0|0.0|16.666666666666664|8.333333333333332|0.0|0.0</t>
  </si>
  <si>
    <t>embryonic morphogenesis and mortality</t>
  </si>
  <si>
    <t>IUF_NPC1b_proliferation_BrdU_72hr</t>
  </si>
  <si>
    <t>Data from the IUF_NPC1b_proliferation_BrdU component was analyzed at the endpoint IUF_NPC1b_proliferation_BrdU in the positive analysis fitting direction relative to DMSO as the negative control and baseline of activity. Using a type of growth reporter, gain or loss-of-signal activity can be used to understand cell proliferation effects.</t>
  </si>
  <si>
    <t>IUF_NPC1b_proliferation_BrdU_72hr is one of 4 assay components measured from the IUF_NPC1 assay. It is designed to measure cell proliferation as assessed by the incorporation of Bromodeoxyuridine (BrdU) in the last 16 h of a 72 h compound exposure using a luminescence-based cell proliferation ELISA.</t>
  </si>
  <si>
    <t>AEID2771_IUF_NPC1b_proliferation_BrdU_72hr.pdf</t>
  </si>
  <si>
    <t>IUF</t>
  </si>
  <si>
    <t>Leibniz Research Institute for Environmental Medicine (IUF) is a German research institution in Düsseldorf. The IUF research mission is the molecular prevention of environmentally induced health disorders.</t>
  </si>
  <si>
    <t>hNPC</t>
  </si>
  <si>
    <t>0.03|0.7|0.08|20.0|0.7|7.0|20.0|0.08|7.0|2.0|0.2|0.03|7.0|7.0|7.0|0.7|0.2|0.08|0.2|2.0|0.08|0.08|20.0|7.0|0.2|0.2|0.08|0.08|7.0|7.0|0.2|0.03|0.7|0.03|0.7|0.03|0.08|0.08|7.0|20.0|0.08|0.7|0.7|2.0|2.0|20.0|2.0|2.0|0.03|0.2|0.03|7.0|2.0|2.0|0.7|0.03|0.08|0.2|0.03|0.2|7.0|0.2|20.0|20.0|20.0|2.0|2.0|0.7|0.7|0.7|0.2|20.0|0.7|0.2|20.0|0.03|2.0|0.03|0.7|0.03|0.03|0.2|2.0|0.2|20.0|20.0|7.0|20.0|0.2|7.0|7.0|0.08|20.0|20.0|7.0|0.7|0.08|0.7|2.0|0.03|0.08|0.03</t>
  </si>
  <si>
    <t>-20.885598214509617|-11.160407538896393|-6.111569079010164|-86.40460860516174|-6.14799632777235|-42.29830143954922|4.019735620434663|-6.111569079010164|-21.68460840273716|-86.40018330310404|-7.148626298772859|0.0|-21.68460840273716|-21.68460840273716|-21.68460840273716|-11.160407538896393|-1.3195039030733793|-4.0176654357542505|-1.3195039030733793|-10.69761912612783|-4.0176654357542505|-6.111569079010164|4.019735620434663|-42.29830143954922|-7.148626298772859|-7.148626298772859|-4.0176654357542505|13.006584533153735|-42.29830143954922|-42.29830143954922|10.353263999489318|-20.885598214509617|-11.160407538896393|0.0|-35.63655657224429|-20.885598214509617|13.006584533153735|13.006584533153735|-62.21703165806283|-86.40460860516174|13.006584533153735|-6.14799632777235|-6.14799632777235|-10.69761912612783|-20.017598759041196|-84.95649121047221|-10.69761912612783|-86.40018330310404|0.0|-1.3195039030733793|-20.885598214509617|-62.21703165806283|-10.69761912612783|-20.017598759041196|-11.160407538896393|0.0|-6.111569079010164|-1.3195039030733793|0.0|10.353263999489318|-42.29830143954922|10.353263999489318|-84.95649121047221|-84.95649121047221|4.019735620434663|-86.40018330310404|-20.017598759041196|-6.14799632777235|-35.63655657224429|-35.63655657224429|-7.148626298772859|-86.40460860516174|-11.160407538896393|-1.3195039030733793|4.019735620434663|-20.885598214509617|-86.40018330310404|0.0|-35.63655657224429|0.0|0.0|10.353263999489318|-86.40018330310404|-7.148626298772859|-84.95649121047221|-86.40460860516174|-62.21703165806283|4.019735620434663|10.353263999489318|-62.21703165806283|-21.68460840273716|13.006584533153735|-86.40460860516174|-84.95649121047221|-62.21703165806283|-35.63655657224429|-4.0176654357542505|-6.14799632777235|-20.017598759041196|0.0|-4.0176654357542505|0.0</t>
  </si>
  <si>
    <t>dna</t>
  </si>
  <si>
    <t>dna-unspecified</t>
  </si>
  <si>
    <t>Luminescence-based cell proliferation ELISA</t>
  </si>
  <si>
    <t>brain</t>
  </si>
  <si>
    <t>EX000578</t>
  </si>
  <si>
    <t>UKN4_HCS_LUHMES_cell_viability</t>
  </si>
  <si>
    <t>The assay endpoint UKN4_HCS_LUHMES_cell_viability was analyzed with bidirectional fitting relative to DMSO as the negative control and baseline of activity. Using a type of viability reporter, gain or loss-of-signal activity can be used to understand viability effects. To generalize the intended target to other relatable targets, this assay endpoint is annotated to the cell cycle intended target family, where the subfamily is viability.</t>
  </si>
  <si>
    <t>UKN4_HCS_LUHMES_cell_viability is an assay component measured from the UKN4_HCS_LHUMES assay. It is designed to make measurements of enzyme activity, a form of viability reporter, as detected with Fluorescence intensity signals by HCS Fluorescent Imaging.</t>
  </si>
  <si>
    <t>AEID2703_UKN4_HCS_LUHMES_cell_viability.pdf</t>
  </si>
  <si>
    <t>LUHMES</t>
  </si>
  <si>
    <t>0.05|0.02|0.1|30.0|0.1|4.0|4.0|30.0|0.005|4.0|100.0|1.0|0.02|0.05|0.4|0.02|4.0|10.0|4.0|30.0|0.1|0.02|0.05|0.4|0.1|30.0|0.05|100.0|0.005|10.0|0.1|30.0|0.05|30.0|1.0|10.0|0.4|30.0|0.05|100.0|10.0|1.0|0.1|100.0|0.1|100.0|0.4|0.02|1.0|1.0|100.0|1.0|100.0|0.1|100.0|1.0|0.02|0.4|0.05|4.0|0.4|30.0|10.0|10.0|10.0|0.02|0.05|10.0|0.4|0.005|0.02|0.005</t>
  </si>
  <si>
    <t>1.1136121115112714|1.697950785252368|0.617353079181383|0.9467747157257496|-0.3694059226064285|-1.5087413566249588|0.35228689265478025|-1.1285221391604328|0.7118336558884629|0.11738146080423412|-95.25853377502521|0.42073605556072574|-0.5484597544429559|-0.8418624983042213|0.10435295142027767|0.5363830631538149|8.793987412388123|-1.1879944436147603|-1.4702078776966605|6.507932970853017|-10.407062800869653|0.8830022075055189|-0.27606631296907613|0.3830984642158906|-0.39556594848361315|-0.8991139873008902|11.165076469186324|-100.0|-0.20050713224534308|-9.259968781041584|0.7450828581518779|-2.222502819121969|0.7315618728960778|-3.346274794388006|10.594326274968651|-0.6864517192190975|0.5144615841392407|-3.2286401283556208|0.7494205243518368|-94.40920668588313|-1.0976821793933755|-9.472400951801704|1.3625336584870162|-100.0|-0.6899553025014324|-100.0|9.78582282078751|-0.06947831140981103|0.0706328974383209|-9.405311669462616|-95.95422477593316|0.15726288000138824|-100.0|10.574996297232078|-100.0|-11.462576251776204|11.029669352448188|0.5405033375879968|-0.39522584695573265|0.3953129937381855|-0.7876585172435179|0.08083351277931357|-1.504366131295808|8.003071646991788|0.7003072657704704|-1.0755545919786627|1.1170661406759514|0.12091898428052894|0.673207056185776|1.2311718833457936|0.3629892518781385|-1.7733324605899259</t>
  </si>
  <si>
    <t>central nervous system</t>
  </si>
  <si>
    <t>BSK_MyoF_CollagenIV</t>
  </si>
  <si>
    <t>Data from the assay component BSK_MyoF_CollagenIV was analyzed at the endpoint, BSK_MyoF_CollagenIV,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'cell adhesion molecules' intended target family, where the subfamily is 'collagen'.</t>
  </si>
  <si>
    <t>BSK_MyoF_CollagenIV is an assay component measured in the BSK_MyoF assay. It measures Collagen IV antibody related to regulation of gene expression using ELISA technology.</t>
  </si>
  <si>
    <t>AEID2835_BSK_MyoF_CollagenIV.pdf</t>
  </si>
  <si>
    <t>COL4A1</t>
  </si>
  <si>
    <t>collagen type IV alpha 1 chain</t>
  </si>
  <si>
    <t>lung fibroblast</t>
  </si>
  <si>
    <t>20.0|7.0|2.0|60.0</t>
  </si>
  <si>
    <t>0.07368874|0.020557651|-0.004966407|0.23520799</t>
  </si>
  <si>
    <t>cell adhesion molecules</t>
  </si>
  <si>
    <t>collagen</t>
  </si>
  <si>
    <t>ATG_chERa_XSP2</t>
  </si>
  <si>
    <t>The assay endpoint ATG_chERa_XSP2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ER.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</si>
  <si>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ATG_chERa_XSP2 is one of 29 assay components measured or calculated from the ATG_XSP2_multi-species_TRANS assay. It is designed to make measurements of mRNA induction, a form of inducible reporter, as detected with fluorescence intensity signals by Reverse transcription polymerase chain reaction (RT-PCR) and Capillary electrophoresis technology.</t>
  </si>
  <si>
    <t>AEID1985_ATG_chERa_XSP2.pdf</t>
  </si>
  <si>
    <t>70.0|200.0|0.8|0.09|0.3|7.0|20.0|2.0</t>
  </si>
  <si>
    <t>1.749339145375436|2.06893429175816|0.02723982550214141|-0.1185477088106785|-0.14038134447027015|0.26994418853196733|0.47419553853696583|0.004314751843061541</t>
  </si>
  <si>
    <t>BSK_LPS_Thrombomodulin</t>
  </si>
  <si>
    <t>Data from the assay component BSK_LPS_Thrombodulin was analyzed at the endpoint, BSK_LPS_Thrombomodulin,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'gpcr' intended target family, where the subfamily is 'rhodopsin-like receptor'.</t>
  </si>
  <si>
    <t>BSK_LPS_Thrombomodulin is an assay component measured in the BSK_LPS assay. It measures Thrombomodulin antibody related to regulation of gene expression using ELISA technology.</t>
  </si>
  <si>
    <t>AEID2933_BSK_LPS_Thrombomodulin.pdf</t>
  </si>
  <si>
    <t>NP_000352.1</t>
  </si>
  <si>
    <t>THBD</t>
  </si>
  <si>
    <t>thrombomodulin</t>
  </si>
  <si>
    <t>Borderline,Average number of replicates per conc &lt; 2,Number of concentrations tested &lt; 4,Gain AC50 &lt; lowest conc &amp; loss AC50 &lt; mean conc,Efficacy &lt; 50%,AC50 &lt; lowest concentration tested</t>
  </si>
  <si>
    <t>7.0|60.0|20.0|2.0</t>
  </si>
  <si>
    <t>0.12240379|0.020757204|0.07304218|0.10687531</t>
  </si>
  <si>
    <t>ATG_rtPPARa_EcoTox2</t>
  </si>
  <si>
    <t>The assay endpoint ATG_frPPARa_EcoTox2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PPARa.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</si>
  <si>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ATG_rtPPARa_EcoTox2 is one of 29 assay components calculated in the ATG_EcoTox2 assay. It is designed to make measurements of mRNA induction, a form of inducible reporter, as detected with fluorescence intensity signals by Reverse transcription polymerase chain reaction (RT-PCR) and Capillary electrophoresis technology.</t>
  </si>
  <si>
    <t>AEID3111_ATG_rtPPARa_EcoTox2.pdf</t>
  </si>
  <si>
    <t>peroxisome proliferator-activated receptor alpha a [Oncorhynchus mykiss (rainbow trout)]</t>
  </si>
  <si>
    <t>50.0|0.2|0.6|0.2|2.0|50.0|200.0|20.0|20.0|6.0|6.0|0.07|0.6|0.07|200.0|2.0</t>
  </si>
  <si>
    <t>1.4313540613566027|-0.009560062361812102|-0.1801347338747412|-0.24555014232370018|-0.11536894356038643|1.4092329691085421|2.53351573530248|0.64144607677353|0.7021553502340867|0.10239138250896668|-0.08377549213600548|-0.19508507534071262|0.1335212799531377|-0.05608120626564071|2.6569802341866042|0.10137233203053177</t>
  </si>
  <si>
    <t>ATG_PPARg_TRANS</t>
  </si>
  <si>
    <t>Data from the assay component ATG_PPARg_TRANS was analyzed into 1 assay endpoint. 
This assay endpoint, ATG_PPARg_TRANS,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PPARG.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</si>
  <si>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ATG_PPARg_TRANS is one of 30 assay component(s) measured or calculated from the ATG_TRANS assay. It is designed to make measurements of mRNA induction, a form of inducible reporter, as detected with fluorescence intensity signals by Reverse transcription polymerase chain reaction (RT-PCR) and Capillary electrophoresis technology.</t>
  </si>
  <si>
    <t>AEID134_ATG_PPARg_TRANS.pdf</t>
  </si>
  <si>
    <t>4.0|100.0|0.1|0.4|1.0|10.0|0.4|0.1|300.0|30.0|300.0|30.0|4.0|10.0|1.0|100.0</t>
  </si>
  <si>
    <t>0.035518658581698836|2.1442764430276573|0.2531452915026307|0.09549383587452431|0.06107870309879035|0.28045998236125624|0.019299353196375834|-0.043675108608015954|3.9053281773790514|0.8157075014621903|4.32991414304679|0.5172319927208034|0.2732556678818685|0.3367417044181496|-0.22986516441311317|2.2344542566056997</t>
  </si>
  <si>
    <t>TOX21_ERa_BLA_Antagonist_ratio</t>
  </si>
  <si>
    <t>Data from the assay component TOX21_ERa_BLA_Antagonist_ratio was analyzed into 1 assay endpoint. This assay endpoint, TOX21_ERa_BLA_Antagonist_ratio, was analyzed in the positive analysis fitting direction relative to DMSO as the negative control and baseline of activity. Using a type of inducible reporter, loss-of-signal activity can be used to understand changes in the reporter gene as they relate to the gene ESR1. Furthermore, this assay endpoint can be referred to as a primary readout, because this assay has produced multiple assay endpoints and this ratio serves a reporter gene function to understand target activity. To generalize the intended target to other relatable targets, this assay endpoint is annotated to the nuclear receptor intended target family, where the subfamily is steroidal.</t>
  </si>
  <si>
    <t>TOX21_ERa_BLA_Antagonist_ratio is an assay readout measuring reporter gene via receptor activity and designed using inducible reporter (beta lactamase induction) detected with GAL4 b-lactamase reporter gene. The signal is derived from the ratio of cleaved (ch2) to uncleaved (ch1) reporter gene substrate used as the measure of target activity.</t>
  </si>
  <si>
    <t>AEID786_TOX21_ERa_BLA_Antagonist_ratio.pdf</t>
  </si>
  <si>
    <t>0.6|80.0|0.01|3.0|0.6|0.001|3.0|0.005|0.001|0.3|30.0|80.0|0.1|0.002|0.005|1.0|0.1|7.0|0.01|7.0|0.6|0.002|30.0|0.1|0.05|0.005|1.0|0.3|20.0|0.05|0.002|1.0|3.0|80.0|0.3|20.0|0.02|20.0|0.02|30.0|0.001|0.05|0.02|7.0|0.01</t>
  </si>
  <si>
    <t>10.1941481548|-69.4070237201|2.1986045426|-11.6101545454|0.3237019551|4.5959686485|-9.2017758461|-0.7823960687|-2.8310465001|6.9959908243|-24.9925843912|-38.9175204573|4.3313653508|2.9767504978|2.9208301307|0.4314404319|0.0500625782|-15.3173482441|7.0023550131|-16.7412819494|6.8340514769|4.2332029227|-32.3263374497|5.567171359|3.2050282937|5.6360128331|-1.0344107819|3.4122467202|-26.9182325313|3.5953407109|0.6889050037|-0.6839502541|-5.6191321873|-63.6608814045|7.2123198965|-21.6325986619|-4.6764975322|-21.5121487132|10.704379665|-27.7410929938|-1.390176089|0.4330748472|5.0262706917|-13.6071218349|1.0826013</t>
  </si>
  <si>
    <t>BSK_BF4T_MCP1</t>
  </si>
  <si>
    <t>Data from the assay component BSK_BF4T_MCP1 was analyzed at the endpoint, BSK_BF4T_MCP1, in the positive analysis fitting direction relative to DMSO as the negative control and baseline of activity. Using a type of binding reporter, gain or loss-of-signal activity can be used to understand protein changes. To generalize the intended target to other relatable targets, this assay endpoint is annotated to the 'cytokine' intended target family, where the subfamily is 'chemotactic factor'.</t>
  </si>
  <si>
    <t>BSK_BF4T_MCP1 is an assay component measured in the BSK_BF4T assay. It measures MCP-1 antibody related to regulation of gene expression using ELISA technology.</t>
  </si>
  <si>
    <t>AEID2849_BSK_BF4T_MCP1.pdf</t>
  </si>
  <si>
    <t>NP_002973.1</t>
  </si>
  <si>
    <t>CCL2</t>
  </si>
  <si>
    <t>chemokine (C-C motif) ligand 2</t>
  </si>
  <si>
    <t>Active with only highest conc above baseline (3*bmad),Bmd &gt; ac50, indication of high baseline variability,Borderline,Average number of replicates per conc &lt; 2,Number of concentrations tested &lt; 4,Efficacy &lt; 50%</t>
  </si>
  <si>
    <t>60.0|20.0|7.0|2.0</t>
  </si>
  <si>
    <t>-0.11079743|0.023609335|0.0138677405|-0.017622828</t>
  </si>
  <si>
    <t>chemotactic factor</t>
  </si>
  <si>
    <t>ATG_ERE_CIS</t>
  </si>
  <si>
    <t>Data from the assay component ATG_ERE_CIS was analyzed into 1 assay endpoint. 
This assay endpoint, ATG_ERE_CIS, was analyzed with bidirectional fitting relative to DMSO as the negative control and baseline of activity. 
Using a type of inducible reporter, measures of mRNA for gain or loss-of-signal activity can be used to understand the reporter gene at the transcription factor-level as they relate to the gene ESR1.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steroidal.</t>
  </si>
  <si>
    <t>ATG_ERE_CIS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</si>
  <si>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AEID75_ATG_ERE_CIS.pdf</t>
  </si>
  <si>
    <t>1.0|0.4|4.0|10.0|0.1|300.0|100.0|30.0|0.4|0.1|100.0|10.0|4.0|30.0|1.0|300.0</t>
  </si>
  <si>
    <t>0.05127560236176346|0.23971513524867372|0.07195379040605442|1.9778771891018603|0.11882330033921175|2.6545944385185694|2.533482094797753|1.9015640277400572|0.11654595962815084|0.33545141507216936|2.088777776760714|1.7366279834372615|0.0866086754740473|2.0876473173123378|0.4890746041853878|3.200472780813611</t>
  </si>
  <si>
    <t>ATG_PXRE_CIS</t>
  </si>
  <si>
    <t>Data from the assay component ATG_PXRE_CIS was analyzed into 1 assay endpoint. 
This assay endpoint, ATG_PXRE_CIS, was analyzed with bidirectional fitting relative to DMSO as the negative control and baseline of activity. 
Using a type of inducible reporter, measures of mRNA for gain or loss-of-signal activity can be used to understand the reporter gene at the transcription factor-level as they relate to the gene NR1I2.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</si>
  <si>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ATG_PXRE_CIS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</si>
  <si>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AEID103_ATG_PXRE_CIS.pdf</t>
  </si>
  <si>
    <t>NP_071285.1</t>
  </si>
  <si>
    <t>NR1I2</t>
  </si>
  <si>
    <t>nuclear receptor subfamily 1, group I, member 2</t>
  </si>
  <si>
    <t>1.0|30.0|4.0|100.0|30.0|300.0|0.4|0.4|4.0|1.0|100.0|10.0|300.0|10.0|0.1|0.1</t>
  </si>
  <si>
    <t>-0.07252472099040445|0.6125936196983481|0.05057894747725589|1.5988619003301396|0.7073863571083125|1.3107257476579393|0.07500242141647727|-0.08924211593533848|0.001974401623187323|0.43179477965936447|1.3199340447552765|0.2297748564698364|1.0234589728239878|0.3488836473217942|0.12598635013528256|-0.19745133289123618</t>
  </si>
  <si>
    <t>CCTE_Shafer_MEA_dev_active_electrodes_number</t>
  </si>
  <si>
    <t>Data from the assay component CCTE_Shafer_MEA_dev_active_electrodes_number was analyzed into 1 assay endpoint. This assay endpoint, CCTE_Shafer_MEA_dev_active_electrodes_number, was analyzed in the negative analysis fitting direction relative to DMSO as the negative control and baseline of activity. Using a type of functional reporter, gain or loss-of-signal activity can be used to understand electrical activity.</t>
  </si>
  <si>
    <t>CCTE_Shafer_MEA_dev_active_electrodes_number is 1 of 19 assay components of the CCTE_Shafer_MEA_dev assay. It measures the number of electrodes in a well with a mean firing rate of at least 5 spikes (action potential firings) per minute during a recording in a microelectrode array (MEA) using Axion Biosystems Maestro 768 channel amplifier with the AxIS adaptive spike detector. To collapse across multiple recordings made on days post-plating 5, 7, 9 and 12, the trapezoidal area-under-the-curve of the component is calculated.</t>
  </si>
  <si>
    <t>AEID2498_CCTE_Shafer_MEA_dev_active_electrodes_number.pdf</t>
  </si>
  <si>
    <t>3.0|0.1|100.0|100.0|10.0|0.1|100.0|30.0|0.1|1.0|1.0|0.3|30.0|1.0|10.0|3.0|10.0|0.3|30.0|3.0|0.3</t>
  </si>
  <si>
    <t>-10.552763819095476|-11.557788944723619|-64.0661938534279|-49.77168949771689|-20.603015075376884|-15.068493150684931|-29.145728643216078|-25.570776255707763|-12.529550827423167|-19.09547738693467|8.274231678486997|-2.512562814070352|-49.74874371859296|2.28310502283105|12.32876712328767|-4.964539007092199|-20.094562647754138|12.785388127853881|-57.919621749408975|-1.36986301369863|7.801418439716312</t>
  </si>
  <si>
    <t>UKN4_HCS_LUHMES_neurite_outgrowth</t>
  </si>
  <si>
    <t>The assay endpoint UKN4_HCS_LUHMES_neurite_outgrowth was analyzed with bidirectional fitting relative to DMSO as the negative control and baseline of activity. Using a type of morphology reporter, gain or loss-of-signal activity can be used to understand developmental effects. To generalize the intended target to other relatable targets, this assay endpoint is annotated to the neurodevelopment intended target family, where the subfamily is neurite outgrowth.</t>
  </si>
  <si>
    <t>UKN4_HCS_LUHMES_neurite_outgrowth is an assay component measured from the UKN4_HCS_LHUMES assay. It is designed to make measurements of neurite outgrowth, a form of morphology reporter, as detected with Fluorescence intensity signals by HCS Fluorescent Imaging.</t>
  </si>
  <si>
    <t>AEID2701_UKN4_HCS_LUHMES_neurite_outgrowth.pdf</t>
  </si>
  <si>
    <t>30.0|0.4|100.0|10.0|0.02|30.0|1.0|10.0|0.1|0.4|0.005|4.0|10.0|30.0|0.005|30.0|1.0|1.0|100.0|4.0|4.0|30.0|30.0|100.0|1.0|4.0|10.0|1.0|1.0|0.05|10.0|0.4|0.05|1.0|0.02|0.05|0.4|4.0|0.02|0.005|0.1|0.1|10.0|0.4|30.0|0.05|100.0|0.1|0.05|10.0|30.0|0.005|0.1|0.05|0.02|100.0|0.1|0.02|0.1|0.02|0.05|0.05|0.1|4.0|100.0|10.0|0.4|100.0|0.4|0.02|100.0|0.02</t>
  </si>
  <si>
    <t>-7.799676769359301|17.913484942115517|-100.0|10.666198122036045|19.631637426811206|8.611276257665306|14.064399949221999|7.962538442657076|29.440465275803746|-6.258678112411318|24.212454716305405|21.535083720457493|-14.09273312408121|-4.818348930700891|-9.837959701282227|12.34596518594544|2.6096431354251926|21.668974522352354|-99.12340331189704|10.04758428938381|4.36815607631487|-9.988967561839889|-12.128631845334612|-99.95902327657896|-8.268406889834031|19.095032804578512|13.864751104088768|18.798748761753696|39.856303809573376|-5.615354546573866|2.5282605100332143|-13.580804287688753|2.1957461184279157|16.445715692855583|-11.068485678786708|22.68711350228406|35.92008210121457|8.459089292522744|-1.8090493912091987|-3.8392741606465814|2.06853522042843|1.6225794016269133|16.793001657918577|28.022878101237275|8.01498740939235|8.102974657673787|-99.62845804478026|12.717507141165177|14.32701542718468|10.410006233829245|-1.4789344037760228|0.9715485512705346|6.102798424533651|25.724314106878097|9.160308450797446|-99.2252373952084|7.785644301425052|11.378750953484808|2.452237482283329|-10.099432572158703|-1.120327818514737|4.007828109643579|23.301796709601376|16.250240933052922|-99.97341440326574|31.432121318538194|21.459579790178655|-99.97993372248746|7.1046549208217415|-7.0023922499892794|-100.0|3.561550117342492</t>
  </si>
  <si>
    <t>ATG_frPPARa_EcoTox2</t>
  </si>
  <si>
    <t>ATG_frPPARa_EcoTox2 is one of 29 assay components calculated in the ATG_EcoTox2 assay. It is designed to make measurements of mRNA induction, a form of inducible reporter, as detected with fluorescence intensity signals by Reverse transcription polymerase chain reaction (RT-PCR) and Capillary electrophoresis technology.</t>
  </si>
  <si>
    <t>AEID3109_ATG_frPPARa_EcoTox2.pdf</t>
  </si>
  <si>
    <t>ppara.S</t>
  </si>
  <si>
    <t>peroxisome proliferator activated receptor alpha S homeolog</t>
  </si>
  <si>
    <t>Active with only highest conc above baseline (3*bmad),Bmd &gt; ac50, indication of high baseline variability</t>
  </si>
  <si>
    <t>0.2322207959278543|0.4261946253976841|-0.08256522971548841|0.36730093634411537|-0.047375801253188334|0.21083819470836557|-0.07470361053499763|1.6274333168504485|0.03906421468604271|1.4472004835179864|0.6972218219850084|0.5346868089621729|0.4472004835179863|0.21420938794353572|-0.14396577437963182|0.3142396925927016</t>
  </si>
  <si>
    <t>ATG_NRF2_ARE_CIS</t>
  </si>
  <si>
    <t>Data from the assay component ATG_NRF2_ARE_CIS was analyzed into 1 assay endpoint. 
This assay endpoint, ATG_NRF2_ARE_CIS, was analyzed with bidirectional fitting relative to DMSO as the negative control and baseline of activity. 
Using a type of inducible reporter, measures of mRNA for gain or loss-of-signal activity can be used to understand the reporter gene at the transcription factor-level as they relate to the gene NFE2L2. 
Furthermore, this assay endpoint can be referred to as a primary readout, because this assay has produced multiple assay endpoints where this one serves a reporter gene function. 
To generalize the intended target to other relatable targets, this assay endpoint is annotated to the dna binding intended target family, where the subfamily is basic leucine zipper.</t>
  </si>
  <si>
    <t>ATG_NRF2_ARE_CIS is one of 52 assay component(s) measured or calculated from the ATG_CIS assay. It is designed to make measurements of mRNA induction, a form of inducible reporter, as detected with fluorescence intensity signals by Reverse transcription polymerase chain reaction (RT-PCR) and Capillary electrophoresis technology.</t>
  </si>
  <si>
    <t>AEID97_ATG_NRF2_ARE_CIS.pdf</t>
  </si>
  <si>
    <t>30.0|0.4|0.1|300.0|0.4|100.0|4.0|300.0|10.0|10.0|0.1|1.0|4.0|1.0|30.0|100.0</t>
  </si>
  <si>
    <t>0.3703684499451176|0.1577208618551849|0.3877706335098471|2.2807531316546914|0.17907606190296302|1.378124893579549|-0.010454357637166045|2.135205221579124|0.10376788589020267|-0.05638246989751844|0.08593017878716971|0.4118562520341691|0.15073143620900348|0.015540850895782148|0.19203363693265202|1.2932806927019151</t>
  </si>
  <si>
    <t>CLD_HMGCS2_48hr</t>
  </si>
  <si>
    <t>Data from the assay component CLD_HMGCS2_48hr was analyzed at the endpoint, CLD_HMGCS2_48hr, in the positive analysis fitting direction relative to DMSO as the negative control and baseline of activity. Using a type of inducible reporter, gain-of-signal activity can be used to understand changes in the reporter gene as they relate to the gene HMGCS2. Furthermore, this assay endpoint can be referred to as a primary readout. To generalize the intended target to other relatable targets, this assay endpoint is annotated to the lyase intended target family, where subfamily is HMG-CoA synthase.</t>
  </si>
  <si>
    <t>CLD_HMGCS2_48hr is one of 16 assay component(s) measured or calculated from the CLD_48hr assay. It is designed to make measurements of mRNA induction, a form of inducible reporter, as detected with chemiluminescence signals by Quantitative Nuclease Protection Assay (qNPA) technology.</t>
  </si>
  <si>
    <t>AEID1655_CLD_HMGCS2_48hr.pdf</t>
  </si>
  <si>
    <t>0.04|0.4|0.004|4.0|0.04|40.0|0.4|0.004|0.004|4.0|0.04|0.04|40.0|0.4|0.4|0.004|4.0|4.0|40.0|40.0</t>
  </si>
  <si>
    <t>-0.28599555427709866|-0.6703905737705487|0.0|-0.5768786878473993|-0.10837616104478975|1.326385525355171|-0.41704956414059957|0.07999932206521976|-0.061400544664140355|-0.2489268053322693|0.08298936467103069|-0.051530300640079574|1.7426328318670503|-0.8195340130763586|-0.16486254054379934|0.06797679381601007|-0.42789694637758835|0.3166703705219618|1.1750994771738306|1.5950570387160514</t>
  </si>
  <si>
    <t>ATG_jmPPARg_EcoTox2</t>
  </si>
  <si>
    <t>The assay endpoint ATG_jmPPARg_EcoTox2 was analyzed in the positive analysis fitting direction relative to DMSO as the negative control and baseline of activity. 
Using a type of inducible reporter, measures of mRNA for gain-of-signal activity can be used to understand the reporter gene at the transcription factor-level as they relate to the gene PPARg. Furthermore, this assay endpoint can be referred to as a primary readout, because this assay has produced multiple assay endpoints where this one serves a reporter gene function. To generalize the intended target to other relatable targets, this assay endpoint is annotated to the nuclear receptor intended target family, where the subfamily is non-steroidal.</t>
  </si>
  <si>
    <t>ATG_jmPPARg_EcoTox2 is one of 29 assay components calculated in the ATG_EcoTox2 assay. It is designed to make measurements of mRNA induction, a form of inducible reporter, as detected with fluorescence intensity signals by Reverse transcription polymerase chain reaction (RT-PCR) and Capillary electrophoresis technology.</t>
  </si>
  <si>
    <t>AEID3123_ATG_jmPPARg_EcoTox2.pdf</t>
  </si>
  <si>
    <t>pparg</t>
  </si>
  <si>
    <t>peroxisome proliferator-activated receptor gamma [ Oryzias latipes (Japanese medaka) ]</t>
  </si>
  <si>
    <t>0.5688877378630848|0.18450449662654175|-0.06313236415665122|0.04620951539627132|0.4619725339465731|0.09173606298278834|0.9869529298394966|-0.010025718185266314|-0.0431935171033204|0.18186461475383786|0.16056983639060948|-0.17956595883460616|-0.3580668544567323|-0.08044491239989211|0.8048033894516297|0.142362136052756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</si>
</sst>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satMod val="105000"/>
                <a:lumMod val="110000"/>
                <a:tint val="67000"/>
              </a:schemeClr>
            </a:gs>
            <a:gs pos="50000">
              <a:schemeClr val="phClr">
                <a:satMod val="103000"/>
                <a:lumMod val="105000"/>
                <a:tint val="73000"/>
              </a:schemeClr>
            </a:gs>
            <a:gs pos="100000">
              <a:schemeClr val="phClr">
                <a:satMod val="109000"/>
                <a:lumMod val="105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satMod val="120000"/>
                <a:lumMod val="99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satMod val="150000"/>
                <a:lumMod val="102000"/>
                <a:tint val="93000"/>
                <a:shade val="98000"/>
              </a:schemeClr>
            </a:gs>
            <a:gs pos="50000">
              <a:schemeClr val="phClr">
                <a:satMod val="130000"/>
                <a:lumMod val="103000"/>
                <a:tint val="98000"/>
                <a:shade val="90000"/>
              </a:schemeClr>
            </a:gs>
            <a:gs pos="100000">
              <a:schemeClr val="phClr">
                <a:satMod val="120000"/>
                <a:shade val="63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AV98"/>
  <sheetViews>
    <sheetView tabSelected="1" topLeftCell="O91" workbookViewId="0"/>
  </sheetViews>
  <sheetFormatPr defaultColWidth="10.90625" defaultRowHeight="14.5" x14ac:dyDescent="0.35"/>
  <cols>
    <col min="1" max="1" width="24" customWidth="1"/>
    <col min="2" max="2" width="29.1796875" customWidth="1"/>
    <col min="3" max="5" width="28" customWidth="1"/>
    <col min="6" max="6" width="21" customWidth="1"/>
    <col min="7" max="7" width="17" customWidth="1"/>
    <col min="8" max="8" width="14" customWidth="1"/>
    <col min="9" max="9" width="34" customWidth="1"/>
    <col min="10" max="10" width="18" customWidth="1"/>
    <col min="11" max="11" width="11" customWidth="1"/>
    <col min="12" max="12" width="13" customWidth="1"/>
    <col min="13" max="13" width="14" customWidth="1"/>
    <col min="14" max="14" width="13" customWidth="1"/>
    <col min="15" max="15" width="11" customWidth="1"/>
    <col min="16" max="16" width="13" customWidth="1"/>
    <col min="17" max="18" width="14" customWidth="1"/>
    <col min="19" max="20" width="13" customWidth="1"/>
    <col min="21" max="21" width="14" customWidth="1"/>
    <col min="22" max="24" width="11" customWidth="1"/>
    <col min="25" max="25" width="17" customWidth="1"/>
    <col min="26" max="26" width="15" customWidth="1"/>
    <col min="27" max="27" width="18" customWidth="1"/>
    <col min="28" max="28" width="14" customWidth="1"/>
    <col min="29" max="29" width="21" customWidth="1"/>
    <col min="30" max="30" width="28" customWidth="1"/>
    <col min="31" max="31" width="17" customWidth="1"/>
    <col min="32" max="32" width="21" customWidth="1"/>
    <col min="33" max="33" width="25" customWidth="1"/>
    <col min="34" max="36" width="14" customWidth="1"/>
    <col min="37" max="37" width="47" customWidth="1"/>
    <col min="38" max="38" width="42.6328125" customWidth="1"/>
    <col min="39" max="39" width="14" customWidth="1"/>
    <col min="40" max="45" width="21" customWidth="1"/>
    <col min="46" max="48" width="14" customWidth="1"/>
  </cols>
  <sheetData>
    <row r="1" spans="1:48"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row>
    <row r="2" spans="1:48" x14ac:dyDescent="0.35">
      <c r="A2" t="s">
        <v>48</v>
      </c>
      <c r="B2" t="s">
        <v>49</v>
      </c>
      <c r="C2" t="s">
        <v>50</v>
      </c>
      <c r="D2" t="s">
        <v>48</v>
      </c>
      <c r="E2" t="s">
        <v>51</v>
      </c>
      <c r="F2" t="s">
        <v>49</v>
      </c>
      <c r="G2" t="s">
        <v>52</v>
      </c>
      <c r="H2" t="s">
        <v>53</v>
      </c>
      <c r="I2" t="str">
        <f>HYPERLINK("https://www.ncbi.nlm.nih.gov/gene/3158", "https://www.ncbi.nlm.nih.gov/gene/3158")</f>
        <v>https://www.ncbi.nlm.nih.gov/gene/3158</v>
      </c>
      <c r="J2" t="s">
        <v>54</v>
      </c>
      <c r="K2" t="s">
        <v>55</v>
      </c>
      <c r="L2" t="s">
        <v>49</v>
      </c>
      <c r="M2" t="s">
        <v>56</v>
      </c>
      <c r="N2">
        <v>0.9949381538074259</v>
      </c>
      <c r="O2">
        <v>1.2114099010342161</v>
      </c>
      <c r="P2">
        <v>2.3140056183685771</v>
      </c>
      <c r="Q2">
        <v>15.175469475375225</v>
      </c>
      <c r="R2">
        <v>1.1811421354910179</v>
      </c>
      <c r="S2">
        <v>0.5235120828653328</v>
      </c>
      <c r="T2">
        <v>12.389570796095974</v>
      </c>
      <c r="U2">
        <v>2.3067183047379638</v>
      </c>
      <c r="V2">
        <v>14.492673856598996</v>
      </c>
      <c r="W2" t="s">
        <v>49</v>
      </c>
      <c r="X2">
        <v>0.17450402762177758</v>
      </c>
      <c r="Y2">
        <v>100</v>
      </c>
      <c r="Z2" t="s">
        <v>57</v>
      </c>
      <c r="AA2" t="s">
        <v>58</v>
      </c>
      <c r="AB2" t="s">
        <v>58</v>
      </c>
      <c r="AC2" t="s">
        <v>59</v>
      </c>
      <c r="AD2" t="s">
        <v>60</v>
      </c>
      <c r="AE2" t="s">
        <v>61</v>
      </c>
      <c r="AF2">
        <v>20</v>
      </c>
      <c r="AG2" t="s">
        <v>62</v>
      </c>
      <c r="AH2" t="s">
        <v>63</v>
      </c>
      <c r="AI2" t="s">
        <v>64</v>
      </c>
      <c r="AJ2" t="s">
        <v>65</v>
      </c>
      <c r="AK2" t="s">
        <v>66</v>
      </c>
      <c r="AL2" t="s">
        <v>67</v>
      </c>
      <c r="AM2">
        <v>1000</v>
      </c>
      <c r="AN2" t="s">
        <v>68</v>
      </c>
      <c r="AO2" t="s">
        <v>69</v>
      </c>
      <c r="AP2" t="s">
        <v>70</v>
      </c>
      <c r="AQ2" t="s">
        <v>71</v>
      </c>
      <c r="AR2" t="s">
        <v>72</v>
      </c>
      <c r="AS2" t="s">
        <v>73</v>
      </c>
      <c r="AT2" t="s">
        <v>74</v>
      </c>
      <c r="AU2" t="s">
        <v>75</v>
      </c>
      <c r="AV2" t="s">
        <v>76</v>
      </c>
    </row>
    <row r="3" spans="1:48" x14ac:dyDescent="0.35">
      <c r="A3" t="s">
        <v>77</v>
      </c>
      <c r="B3" t="s">
        <v>49</v>
      </c>
      <c r="C3" t="s">
        <v>78</v>
      </c>
      <c r="D3" t="s">
        <v>77</v>
      </c>
      <c r="E3" t="s">
        <v>79</v>
      </c>
      <c r="F3" t="s">
        <v>49</v>
      </c>
      <c r="G3" t="s">
        <v>80</v>
      </c>
      <c r="H3" t="s">
        <v>81</v>
      </c>
      <c r="I3" t="str">
        <f>HYPERLINK("https://www.ncbi.nlm.nih.gov/gene/5166", "https://www.ncbi.nlm.nih.gov/gene/5166")</f>
        <v>https://www.ncbi.nlm.nih.gov/gene/5166</v>
      </c>
      <c r="J3" t="s">
        <v>82</v>
      </c>
      <c r="K3" t="s">
        <v>55</v>
      </c>
      <c r="L3" t="s">
        <v>49</v>
      </c>
      <c r="M3" t="s">
        <v>56</v>
      </c>
      <c r="N3">
        <v>0.99999999849659471</v>
      </c>
      <c r="O3">
        <v>3.3165956107223948</v>
      </c>
      <c r="P3">
        <v>6.871115637462939</v>
      </c>
      <c r="Q3">
        <v>26.907555640379925</v>
      </c>
      <c r="R3">
        <v>1.4298742469978145</v>
      </c>
      <c r="S3">
        <v>0.48268662408176266</v>
      </c>
      <c r="T3">
        <v>16.051849489380064</v>
      </c>
      <c r="U3">
        <v>13.961195648163045</v>
      </c>
      <c r="V3">
        <v>15.131070057837638</v>
      </c>
      <c r="W3" t="s">
        <v>49</v>
      </c>
      <c r="X3">
        <v>0.16089554136058756</v>
      </c>
      <c r="Y3">
        <v>100</v>
      </c>
      <c r="Z3" t="s">
        <v>57</v>
      </c>
      <c r="AA3" t="s">
        <v>58</v>
      </c>
      <c r="AB3" t="s">
        <v>58</v>
      </c>
      <c r="AC3" t="s">
        <v>59</v>
      </c>
      <c r="AD3" t="s">
        <v>60</v>
      </c>
      <c r="AE3" t="s">
        <v>61</v>
      </c>
      <c r="AF3">
        <v>20</v>
      </c>
      <c r="AG3" t="s">
        <v>62</v>
      </c>
      <c r="AH3" t="s">
        <v>63</v>
      </c>
      <c r="AI3" t="s">
        <v>64</v>
      </c>
      <c r="AJ3" t="s">
        <v>65</v>
      </c>
      <c r="AK3" t="s">
        <v>83</v>
      </c>
      <c r="AL3" t="s">
        <v>84</v>
      </c>
      <c r="AM3">
        <v>1000</v>
      </c>
      <c r="AN3" t="s">
        <v>85</v>
      </c>
      <c r="AO3" t="s">
        <v>69</v>
      </c>
      <c r="AP3" t="s">
        <v>70</v>
      </c>
      <c r="AQ3" t="s">
        <v>86</v>
      </c>
      <c r="AR3" t="s">
        <v>72</v>
      </c>
      <c r="AS3" t="s">
        <v>73</v>
      </c>
      <c r="AT3" t="s">
        <v>74</v>
      </c>
      <c r="AU3" t="s">
        <v>75</v>
      </c>
      <c r="AV3" t="s">
        <v>76</v>
      </c>
    </row>
    <row r="4" spans="1:48" x14ac:dyDescent="0.35">
      <c r="A4" t="s">
        <v>87</v>
      </c>
      <c r="B4" t="s">
        <v>49</v>
      </c>
      <c r="C4" t="s">
        <v>88</v>
      </c>
      <c r="D4" t="s">
        <v>87</v>
      </c>
      <c r="E4" t="s">
        <v>89</v>
      </c>
      <c r="F4" t="s">
        <v>49</v>
      </c>
      <c r="G4" t="s">
        <v>90</v>
      </c>
      <c r="H4" t="s">
        <v>91</v>
      </c>
      <c r="I4" t="str">
        <f>HYPERLINK("https://www.ncbi.nlm.nih.gov/gene/54658", "https://www.ncbi.nlm.nih.gov/gene/54658")</f>
        <v>https://www.ncbi.nlm.nih.gov/gene/54658</v>
      </c>
      <c r="J4" t="s">
        <v>92</v>
      </c>
      <c r="K4" t="s">
        <v>55</v>
      </c>
      <c r="L4" t="s">
        <v>49</v>
      </c>
      <c r="M4" t="s">
        <v>56</v>
      </c>
      <c r="N4">
        <v>0.92550451103021592</v>
      </c>
      <c r="O4">
        <v>0.99728902169785316</v>
      </c>
      <c r="P4">
        <v>1.5057137234543718</v>
      </c>
      <c r="Q4">
        <v>3.1076981226790172</v>
      </c>
      <c r="R4">
        <v>0.49243882543707534</v>
      </c>
      <c r="S4">
        <v>0.66233640974586916</v>
      </c>
      <c r="T4">
        <v>4.8916867331180205</v>
      </c>
      <c r="U4">
        <v>0.47237972814058504</v>
      </c>
      <c r="V4">
        <v>14.483290939371981</v>
      </c>
      <c r="W4" t="s">
        <v>49</v>
      </c>
      <c r="X4">
        <v>0.22077880324862306</v>
      </c>
      <c r="Y4">
        <v>31.6227766016838</v>
      </c>
      <c r="Z4" t="s">
        <v>57</v>
      </c>
      <c r="AA4" t="s">
        <v>58</v>
      </c>
      <c r="AB4" t="s">
        <v>58</v>
      </c>
      <c r="AC4" t="s">
        <v>59</v>
      </c>
      <c r="AD4" t="s">
        <v>60</v>
      </c>
      <c r="AE4" t="s">
        <v>61</v>
      </c>
      <c r="AF4">
        <v>20</v>
      </c>
      <c r="AG4" t="s">
        <v>62</v>
      </c>
      <c r="AH4" t="s">
        <v>63</v>
      </c>
      <c r="AI4" t="s">
        <v>64</v>
      </c>
      <c r="AJ4" t="s">
        <v>65</v>
      </c>
      <c r="AK4" t="s">
        <v>93</v>
      </c>
      <c r="AL4" t="s">
        <v>94</v>
      </c>
      <c r="AM4">
        <v>1000</v>
      </c>
      <c r="AN4" t="s">
        <v>95</v>
      </c>
      <c r="AO4" t="s">
        <v>69</v>
      </c>
      <c r="AP4" t="s">
        <v>70</v>
      </c>
      <c r="AQ4" t="s">
        <v>96</v>
      </c>
      <c r="AR4" t="s">
        <v>72</v>
      </c>
      <c r="AS4" t="s">
        <v>73</v>
      </c>
      <c r="AT4" t="s">
        <v>74</v>
      </c>
      <c r="AU4" t="s">
        <v>75</v>
      </c>
      <c r="AV4" t="s">
        <v>76</v>
      </c>
    </row>
    <row r="5" spans="1:48" x14ac:dyDescent="0.35">
      <c r="A5" t="s">
        <v>97</v>
      </c>
      <c r="B5" t="s">
        <v>49</v>
      </c>
      <c r="C5" t="s">
        <v>98</v>
      </c>
      <c r="D5" t="s">
        <v>97</v>
      </c>
      <c r="E5" t="s">
        <v>99</v>
      </c>
      <c r="F5" t="s">
        <v>49</v>
      </c>
      <c r="G5" t="s">
        <v>100</v>
      </c>
      <c r="H5" t="s">
        <v>101</v>
      </c>
      <c r="I5" t="str">
        <f>HYPERLINK("https://www.ncbi.nlm.nih.gov/gene/7494", "https://www.ncbi.nlm.nih.gov/gene/7494")</f>
        <v>https://www.ncbi.nlm.nih.gov/gene/7494</v>
      </c>
      <c r="J5" t="s">
        <v>102</v>
      </c>
      <c r="K5" t="s">
        <v>55</v>
      </c>
      <c r="L5" t="s">
        <v>49</v>
      </c>
      <c r="M5" t="s">
        <v>56</v>
      </c>
      <c r="N5">
        <v>0.96830920507103058</v>
      </c>
      <c r="O5">
        <v>1.126359848643941</v>
      </c>
      <c r="P5">
        <v>2.1750440318028321</v>
      </c>
      <c r="Q5">
        <v>50.000000000000007</v>
      </c>
      <c r="R5">
        <v>1.6989700043360187</v>
      </c>
      <c r="S5">
        <v>0.51785611333593706</v>
      </c>
      <c r="T5">
        <v>45.976080731162412</v>
      </c>
      <c r="U5">
        <v>10.000000000000002</v>
      </c>
      <c r="V5">
        <v>6.6791293728240904</v>
      </c>
      <c r="W5">
        <v>592.9836171686427</v>
      </c>
      <c r="X5">
        <v>0.17261870444531235</v>
      </c>
      <c r="Y5">
        <v>100</v>
      </c>
      <c r="Z5" t="s">
        <v>57</v>
      </c>
      <c r="AA5" t="s">
        <v>58</v>
      </c>
      <c r="AB5" t="s">
        <v>58</v>
      </c>
      <c r="AC5" t="s">
        <v>59</v>
      </c>
      <c r="AD5" t="s">
        <v>60</v>
      </c>
      <c r="AE5" t="s">
        <v>103</v>
      </c>
      <c r="AF5">
        <v>20</v>
      </c>
      <c r="AG5" t="s">
        <v>62</v>
      </c>
      <c r="AH5" t="s">
        <v>63</v>
      </c>
      <c r="AI5" t="s">
        <v>64</v>
      </c>
      <c r="AJ5" t="s">
        <v>65</v>
      </c>
      <c r="AK5" t="s">
        <v>104</v>
      </c>
      <c r="AL5" t="s">
        <v>105</v>
      </c>
      <c r="AM5">
        <v>1000</v>
      </c>
      <c r="AN5" t="s">
        <v>106</v>
      </c>
      <c r="AO5" t="s">
        <v>69</v>
      </c>
      <c r="AP5" t="s">
        <v>70</v>
      </c>
      <c r="AQ5" t="s">
        <v>107</v>
      </c>
      <c r="AR5" t="s">
        <v>72</v>
      </c>
      <c r="AS5" t="s">
        <v>73</v>
      </c>
      <c r="AT5" t="s">
        <v>74</v>
      </c>
      <c r="AU5" t="s">
        <v>75</v>
      </c>
      <c r="AV5" t="s">
        <v>76</v>
      </c>
    </row>
    <row r="6" spans="1:48" x14ac:dyDescent="0.35">
      <c r="A6" t="s">
        <v>108</v>
      </c>
      <c r="B6" t="s">
        <v>49</v>
      </c>
      <c r="C6" t="s">
        <v>109</v>
      </c>
      <c r="D6" t="s">
        <v>108</v>
      </c>
      <c r="E6" t="s">
        <v>110</v>
      </c>
      <c r="F6" t="s">
        <v>49</v>
      </c>
      <c r="G6" t="s">
        <v>111</v>
      </c>
      <c r="H6" t="s">
        <v>112</v>
      </c>
      <c r="I6" t="str">
        <f>HYPERLINK("https://www.ncbi.nlm.nih.gov/gene/6256", "https://www.ncbi.nlm.nih.gov/gene/6256")</f>
        <v>https://www.ncbi.nlm.nih.gov/gene/6256</v>
      </c>
      <c r="J6" t="s">
        <v>113</v>
      </c>
      <c r="K6" t="s">
        <v>55</v>
      </c>
      <c r="L6" t="s">
        <v>49</v>
      </c>
      <c r="M6" t="s">
        <v>56</v>
      </c>
      <c r="N6">
        <v>0.95698519073046107</v>
      </c>
      <c r="O6">
        <v>26.35530994230103</v>
      </c>
      <c r="P6">
        <v>1.3177654971150514</v>
      </c>
      <c r="Q6">
        <v>22.200253129859128</v>
      </c>
      <c r="R6">
        <v>1.3463579263548859</v>
      </c>
      <c r="S6">
        <v>20</v>
      </c>
      <c r="T6">
        <v>38.574902803376638</v>
      </c>
      <c r="U6">
        <v>3.8896765000957703</v>
      </c>
      <c r="V6">
        <v>7.9543820909991334</v>
      </c>
      <c r="W6">
        <v>12.462877818470792</v>
      </c>
      <c r="X6">
        <v>2.2783904969172899</v>
      </c>
      <c r="Y6">
        <v>76.475095785440601</v>
      </c>
      <c r="Z6" t="s">
        <v>57</v>
      </c>
      <c r="AA6" t="s">
        <v>114</v>
      </c>
      <c r="AB6" t="s">
        <v>114</v>
      </c>
      <c r="AC6" t="s">
        <v>115</v>
      </c>
      <c r="AD6" t="s">
        <v>116</v>
      </c>
      <c r="AE6" t="s">
        <v>117</v>
      </c>
      <c r="AF6">
        <v>20</v>
      </c>
      <c r="AG6" t="s">
        <v>62</v>
      </c>
      <c r="AH6" t="s">
        <v>63</v>
      </c>
      <c r="AI6" t="s">
        <v>118</v>
      </c>
      <c r="AJ6" t="s">
        <v>65</v>
      </c>
      <c r="AK6" t="s">
        <v>119</v>
      </c>
      <c r="AL6" t="s">
        <v>120</v>
      </c>
      <c r="AM6">
        <v>1000</v>
      </c>
      <c r="AN6" t="s">
        <v>106</v>
      </c>
      <c r="AO6" t="s">
        <v>121</v>
      </c>
      <c r="AP6" t="s">
        <v>122</v>
      </c>
      <c r="AQ6" t="s">
        <v>123</v>
      </c>
      <c r="AR6" t="s">
        <v>72</v>
      </c>
      <c r="AS6" t="s">
        <v>124</v>
      </c>
      <c r="AT6" t="s">
        <v>125</v>
      </c>
      <c r="AU6" t="s">
        <v>126</v>
      </c>
      <c r="AV6" t="s">
        <v>76</v>
      </c>
    </row>
    <row r="7" spans="1:48" x14ac:dyDescent="0.35">
      <c r="A7" t="s">
        <v>127</v>
      </c>
      <c r="B7" t="s">
        <v>128</v>
      </c>
      <c r="C7" t="s">
        <v>129</v>
      </c>
      <c r="D7" t="s">
        <v>127</v>
      </c>
      <c r="E7" t="s">
        <v>130</v>
      </c>
      <c r="F7" t="s">
        <v>49</v>
      </c>
      <c r="G7" t="s">
        <v>49</v>
      </c>
      <c r="H7" t="s">
        <v>49</v>
      </c>
      <c r="I7" t="s">
        <v>49</v>
      </c>
      <c r="J7" t="s">
        <v>49</v>
      </c>
      <c r="K7">
        <v>263</v>
      </c>
      <c r="L7">
        <v>1771</v>
      </c>
      <c r="M7" t="s">
        <v>56</v>
      </c>
      <c r="N7">
        <v>0.99999976912995669</v>
      </c>
      <c r="O7">
        <v>-59.102299373017651</v>
      </c>
      <c r="P7">
        <v>-2.9551149686508826</v>
      </c>
      <c r="Q7">
        <v>25.476333819538908</v>
      </c>
      <c r="R7">
        <v>1.4061369308649769</v>
      </c>
      <c r="S7">
        <v>20</v>
      </c>
      <c r="T7">
        <v>16.58238401910074</v>
      </c>
      <c r="U7">
        <v>6.2368302926123134</v>
      </c>
      <c r="V7">
        <v>8.1607244484631636</v>
      </c>
      <c r="W7">
        <v>7.8837968757487245</v>
      </c>
      <c r="X7">
        <v>3.0508964104962</v>
      </c>
      <c r="Y7">
        <v>0.27360562042145598</v>
      </c>
      <c r="Z7" t="s">
        <v>57</v>
      </c>
      <c r="AA7" t="s">
        <v>114</v>
      </c>
      <c r="AB7" t="s">
        <v>114</v>
      </c>
      <c r="AC7" t="s">
        <v>115</v>
      </c>
      <c r="AD7" t="s">
        <v>131</v>
      </c>
      <c r="AE7" t="s">
        <v>61</v>
      </c>
      <c r="AF7">
        <v>20</v>
      </c>
      <c r="AG7" t="s">
        <v>62</v>
      </c>
      <c r="AH7" t="s">
        <v>63</v>
      </c>
      <c r="AI7" t="s">
        <v>132</v>
      </c>
      <c r="AJ7" t="s">
        <v>65</v>
      </c>
      <c r="AK7" t="s">
        <v>133</v>
      </c>
      <c r="AL7" t="s">
        <v>134</v>
      </c>
      <c r="AM7">
        <v>1000</v>
      </c>
      <c r="AN7" t="s">
        <v>135</v>
      </c>
      <c r="AO7" t="s">
        <v>136</v>
      </c>
      <c r="AP7" t="s">
        <v>136</v>
      </c>
      <c r="AQ7" t="s">
        <v>137</v>
      </c>
      <c r="AR7" t="s">
        <v>138</v>
      </c>
      <c r="AS7" t="s">
        <v>139</v>
      </c>
      <c r="AT7" t="s">
        <v>140</v>
      </c>
      <c r="AU7" t="s">
        <v>126</v>
      </c>
      <c r="AV7" t="s">
        <v>76</v>
      </c>
    </row>
    <row r="8" spans="1:48" x14ac:dyDescent="0.35">
      <c r="A8" t="s">
        <v>141</v>
      </c>
      <c r="B8" t="s">
        <v>49</v>
      </c>
      <c r="C8" t="s">
        <v>142</v>
      </c>
      <c r="D8" t="s">
        <v>141</v>
      </c>
      <c r="E8" t="s">
        <v>143</v>
      </c>
      <c r="F8" t="s">
        <v>49</v>
      </c>
      <c r="G8" t="s">
        <v>144</v>
      </c>
      <c r="H8" t="s">
        <v>145</v>
      </c>
      <c r="I8" t="str">
        <f>HYPERLINK("https://www.ncbi.nlm.nih.gov/gene/5465", "https://www.ncbi.nlm.nih.gov/gene/5465")</f>
        <v>https://www.ncbi.nlm.nih.gov/gene/5465</v>
      </c>
      <c r="J8" t="s">
        <v>146</v>
      </c>
      <c r="K8" t="s">
        <v>55</v>
      </c>
      <c r="L8" t="s">
        <v>49</v>
      </c>
      <c r="M8" t="s">
        <v>56</v>
      </c>
      <c r="N8">
        <v>0.94837365386022321</v>
      </c>
      <c r="O8">
        <v>24.520433416311828</v>
      </c>
      <c r="P8">
        <v>1.2260216708155913</v>
      </c>
      <c r="Q8">
        <v>11.4607399929758</v>
      </c>
      <c r="R8">
        <v>1.0592126599080383</v>
      </c>
      <c r="S8">
        <v>20</v>
      </c>
      <c r="T8">
        <v>52.896035468598612</v>
      </c>
      <c r="U8">
        <v>7.4950080499378666E-2</v>
      </c>
      <c r="V8">
        <v>3.4061607857618141</v>
      </c>
      <c r="W8">
        <v>0.20934267300440804</v>
      </c>
      <c r="X8">
        <v>1.4825999999999999</v>
      </c>
      <c r="Y8">
        <v>100</v>
      </c>
      <c r="Z8" t="s">
        <v>57</v>
      </c>
      <c r="AA8" t="s">
        <v>147</v>
      </c>
      <c r="AB8" t="s">
        <v>147</v>
      </c>
      <c r="AC8" t="s">
        <v>148</v>
      </c>
      <c r="AD8" t="s">
        <v>149</v>
      </c>
      <c r="AE8" t="s">
        <v>150</v>
      </c>
      <c r="AF8">
        <v>20</v>
      </c>
      <c r="AG8" t="s">
        <v>62</v>
      </c>
      <c r="AH8" t="s">
        <v>63</v>
      </c>
      <c r="AI8" t="s">
        <v>151</v>
      </c>
      <c r="AJ8" t="s">
        <v>152</v>
      </c>
      <c r="AK8" t="s">
        <v>153</v>
      </c>
      <c r="AL8" t="s">
        <v>154</v>
      </c>
      <c r="AM8">
        <v>1000</v>
      </c>
      <c r="AN8" t="s">
        <v>155</v>
      </c>
      <c r="AO8" t="s">
        <v>156</v>
      </c>
      <c r="AP8" t="s">
        <v>157</v>
      </c>
      <c r="AQ8" t="s">
        <v>158</v>
      </c>
      <c r="AR8" t="s">
        <v>159</v>
      </c>
      <c r="AS8" t="s">
        <v>160</v>
      </c>
      <c r="AT8" t="s">
        <v>151</v>
      </c>
      <c r="AU8" t="s">
        <v>161</v>
      </c>
      <c r="AV8" t="s">
        <v>76</v>
      </c>
    </row>
    <row r="9" spans="1:48" x14ac:dyDescent="0.35">
      <c r="A9" t="s">
        <v>162</v>
      </c>
      <c r="B9" t="s">
        <v>49</v>
      </c>
      <c r="C9" t="s">
        <v>163</v>
      </c>
      <c r="D9" t="s">
        <v>162</v>
      </c>
      <c r="E9" t="s">
        <v>164</v>
      </c>
      <c r="F9" t="s">
        <v>49</v>
      </c>
      <c r="G9" t="s">
        <v>165</v>
      </c>
      <c r="H9" t="s">
        <v>166</v>
      </c>
      <c r="I9" t="str">
        <f>HYPERLINK("https://www.ncbi.nlm.nih.gov/gene/1559", "https://www.ncbi.nlm.nih.gov/gene/1559")</f>
        <v>https://www.ncbi.nlm.nih.gov/gene/1559</v>
      </c>
      <c r="J9" t="s">
        <v>167</v>
      </c>
      <c r="K9" t="s">
        <v>55</v>
      </c>
      <c r="L9" t="s">
        <v>49</v>
      </c>
      <c r="M9" t="s">
        <v>56</v>
      </c>
      <c r="N9">
        <v>1</v>
      </c>
      <c r="O9">
        <v>-108.18864057861477</v>
      </c>
      <c r="P9">
        <v>-3.593998990019077</v>
      </c>
      <c r="Q9">
        <v>2.6728240748230325</v>
      </c>
      <c r="R9">
        <v>0.4269703744512765</v>
      </c>
      <c r="S9">
        <v>30.102579571966018</v>
      </c>
      <c r="T9">
        <v>1.2918182955612778</v>
      </c>
      <c r="U9">
        <v>0.50013913165560897</v>
      </c>
      <c r="V9">
        <v>28.068418563590388</v>
      </c>
      <c r="W9">
        <v>1.2008934104815792</v>
      </c>
      <c r="X9">
        <v>5.0170965953276694</v>
      </c>
      <c r="Y9">
        <v>1.6416337241379308E-2</v>
      </c>
      <c r="Z9" t="s">
        <v>57</v>
      </c>
      <c r="AA9" t="s">
        <v>114</v>
      </c>
      <c r="AB9" t="s">
        <v>114</v>
      </c>
      <c r="AC9" t="s">
        <v>115</v>
      </c>
      <c r="AD9" t="s">
        <v>168</v>
      </c>
      <c r="AE9" t="s">
        <v>61</v>
      </c>
      <c r="AF9">
        <v>20</v>
      </c>
      <c r="AG9" t="s">
        <v>62</v>
      </c>
      <c r="AH9" t="s">
        <v>63</v>
      </c>
      <c r="AI9" t="s">
        <v>151</v>
      </c>
      <c r="AJ9" t="s">
        <v>152</v>
      </c>
      <c r="AK9" t="s">
        <v>169</v>
      </c>
      <c r="AL9" t="s">
        <v>170</v>
      </c>
      <c r="AM9">
        <v>1000</v>
      </c>
      <c r="AN9" t="s">
        <v>171</v>
      </c>
      <c r="AO9" t="s">
        <v>156</v>
      </c>
      <c r="AP9" t="s">
        <v>172</v>
      </c>
      <c r="AQ9" t="s">
        <v>173</v>
      </c>
      <c r="AR9" t="s">
        <v>174</v>
      </c>
      <c r="AS9" t="s">
        <v>175</v>
      </c>
      <c r="AT9" t="s">
        <v>151</v>
      </c>
      <c r="AU9" t="s">
        <v>126</v>
      </c>
      <c r="AV9" t="s">
        <v>76</v>
      </c>
    </row>
    <row r="10" spans="1:48" x14ac:dyDescent="0.35">
      <c r="A10" t="s">
        <v>176</v>
      </c>
      <c r="B10" t="s">
        <v>49</v>
      </c>
      <c r="C10" t="s">
        <v>177</v>
      </c>
      <c r="D10" t="s">
        <v>176</v>
      </c>
      <c r="E10" t="s">
        <v>178</v>
      </c>
      <c r="F10" t="s">
        <v>49</v>
      </c>
      <c r="G10" t="s">
        <v>179</v>
      </c>
      <c r="H10" t="s">
        <v>180</v>
      </c>
      <c r="I10" t="str">
        <f>HYPERLINK("https://www.ncbi.nlm.nih.gov/gene/24895", "https://www.ncbi.nlm.nih.gov/gene/24895")</f>
        <v>https://www.ncbi.nlm.nih.gov/gene/24895</v>
      </c>
      <c r="J10" t="s">
        <v>181</v>
      </c>
      <c r="K10" t="s">
        <v>55</v>
      </c>
      <c r="L10" t="s">
        <v>49</v>
      </c>
      <c r="M10" t="s">
        <v>56</v>
      </c>
      <c r="N10">
        <v>0.99316022693829109</v>
      </c>
      <c r="O10">
        <v>-32.349868357032236</v>
      </c>
      <c r="P10">
        <v>-1.6174934178516118</v>
      </c>
      <c r="Q10">
        <v>2.6772515612168064</v>
      </c>
      <c r="R10">
        <v>0.42768918049413501</v>
      </c>
      <c r="S10">
        <v>20</v>
      </c>
      <c r="T10">
        <v>3.4399733573462377</v>
      </c>
      <c r="U10">
        <v>0.48309150501809217</v>
      </c>
      <c r="V10">
        <v>19.851966458490917</v>
      </c>
      <c r="W10">
        <v>3.4091112440183462</v>
      </c>
      <c r="X10">
        <v>2.9180601550903695</v>
      </c>
      <c r="Y10">
        <v>2.7400000000000001E-2</v>
      </c>
      <c r="Z10" t="s">
        <v>57</v>
      </c>
      <c r="AA10" t="s">
        <v>182</v>
      </c>
      <c r="AB10" t="s">
        <v>182</v>
      </c>
      <c r="AC10" t="s">
        <v>183</v>
      </c>
      <c r="AD10" t="s">
        <v>168</v>
      </c>
      <c r="AE10" t="s">
        <v>184</v>
      </c>
      <c r="AF10">
        <v>20</v>
      </c>
      <c r="AG10" t="s">
        <v>62</v>
      </c>
      <c r="AH10" t="s">
        <v>185</v>
      </c>
      <c r="AI10" t="s">
        <v>151</v>
      </c>
      <c r="AJ10" t="s">
        <v>152</v>
      </c>
      <c r="AK10" t="s">
        <v>186</v>
      </c>
      <c r="AL10" t="s">
        <v>187</v>
      </c>
      <c r="AM10">
        <v>1000</v>
      </c>
      <c r="AN10" t="s">
        <v>171</v>
      </c>
      <c r="AO10" t="s">
        <v>156</v>
      </c>
      <c r="AP10" t="s">
        <v>188</v>
      </c>
      <c r="AQ10" t="s">
        <v>189</v>
      </c>
      <c r="AR10" t="s">
        <v>174</v>
      </c>
      <c r="AS10" t="s">
        <v>190</v>
      </c>
      <c r="AT10" t="s">
        <v>151</v>
      </c>
      <c r="AU10" t="s">
        <v>191</v>
      </c>
      <c r="AV10" t="s">
        <v>76</v>
      </c>
    </row>
    <row r="11" spans="1:48" x14ac:dyDescent="0.35">
      <c r="A11" t="s">
        <v>192</v>
      </c>
      <c r="B11" t="s">
        <v>49</v>
      </c>
      <c r="C11" t="s">
        <v>193</v>
      </c>
      <c r="D11" t="s">
        <v>192</v>
      </c>
      <c r="E11" t="s">
        <v>194</v>
      </c>
      <c r="F11" t="s">
        <v>49</v>
      </c>
      <c r="G11" t="s">
        <v>195</v>
      </c>
      <c r="H11" t="s">
        <v>196</v>
      </c>
      <c r="I11" t="str">
        <f>HYPERLINK("https://www.ncbi.nlm.nih.gov/gene/23621", "https://www.ncbi.nlm.nih.gov/gene/23621")</f>
        <v>https://www.ncbi.nlm.nih.gov/gene/23621</v>
      </c>
      <c r="J11" t="s">
        <v>197</v>
      </c>
      <c r="K11" t="s">
        <v>55</v>
      </c>
      <c r="L11" t="s">
        <v>49</v>
      </c>
      <c r="M11" t="s">
        <v>56</v>
      </c>
      <c r="N11">
        <v>0.99999999408474705</v>
      </c>
      <c r="O11">
        <v>-84.889004387329408</v>
      </c>
      <c r="P11">
        <v>-4.2444502193664704</v>
      </c>
      <c r="Q11">
        <v>3.5777940119970029</v>
      </c>
      <c r="R11">
        <v>0.55361533286962672</v>
      </c>
      <c r="S11">
        <v>20</v>
      </c>
      <c r="T11">
        <v>1.3089466485254337</v>
      </c>
      <c r="U11">
        <v>0.54746743373344064</v>
      </c>
      <c r="V11">
        <v>19.635996085966521</v>
      </c>
      <c r="W11">
        <v>1.2824226038253772</v>
      </c>
      <c r="X11">
        <v>2.6906430180870853</v>
      </c>
      <c r="Y11">
        <v>2.29E-2</v>
      </c>
      <c r="Z11" t="s">
        <v>57</v>
      </c>
      <c r="AA11" t="s">
        <v>182</v>
      </c>
      <c r="AB11" t="s">
        <v>182</v>
      </c>
      <c r="AC11" t="s">
        <v>183</v>
      </c>
      <c r="AD11" t="s">
        <v>168</v>
      </c>
      <c r="AE11" t="s">
        <v>198</v>
      </c>
      <c r="AF11">
        <v>20</v>
      </c>
      <c r="AG11" t="s">
        <v>62</v>
      </c>
      <c r="AH11" t="s">
        <v>63</v>
      </c>
      <c r="AI11" t="s">
        <v>151</v>
      </c>
      <c r="AJ11" t="s">
        <v>152</v>
      </c>
      <c r="AK11" t="s">
        <v>199</v>
      </c>
      <c r="AL11" t="s">
        <v>200</v>
      </c>
      <c r="AM11">
        <v>1000</v>
      </c>
      <c r="AN11" t="s">
        <v>201</v>
      </c>
      <c r="AO11" t="s">
        <v>156</v>
      </c>
      <c r="AP11" t="s">
        <v>188</v>
      </c>
      <c r="AQ11" t="s">
        <v>202</v>
      </c>
      <c r="AR11" t="s">
        <v>174</v>
      </c>
      <c r="AS11" t="s">
        <v>190</v>
      </c>
      <c r="AT11" t="s">
        <v>151</v>
      </c>
      <c r="AU11" t="s">
        <v>191</v>
      </c>
      <c r="AV11" t="s">
        <v>76</v>
      </c>
    </row>
    <row r="12" spans="1:48" x14ac:dyDescent="0.35">
      <c r="A12" t="s">
        <v>203</v>
      </c>
      <c r="B12" t="s">
        <v>49</v>
      </c>
      <c r="C12" t="s">
        <v>204</v>
      </c>
      <c r="D12" t="s">
        <v>203</v>
      </c>
      <c r="E12" t="s">
        <v>205</v>
      </c>
      <c r="F12" t="s">
        <v>49</v>
      </c>
      <c r="G12" t="s">
        <v>206</v>
      </c>
      <c r="H12" t="s">
        <v>207</v>
      </c>
      <c r="I12" t="str">
        <f>HYPERLINK("https://www.ncbi.nlm.nih.gov/gene/5290", "https://www.ncbi.nlm.nih.gov/gene/5290")</f>
        <v>https://www.ncbi.nlm.nih.gov/gene/5290</v>
      </c>
      <c r="J12" t="s">
        <v>208</v>
      </c>
      <c r="K12" t="s">
        <v>55</v>
      </c>
      <c r="L12" t="s">
        <v>49</v>
      </c>
      <c r="M12" t="s">
        <v>56</v>
      </c>
      <c r="N12">
        <v>0.99047692731352299</v>
      </c>
      <c r="O12">
        <v>-40.943319964995268</v>
      </c>
      <c r="P12">
        <v>-1.3253543029361947</v>
      </c>
      <c r="Q12">
        <v>11.297999808550758</v>
      </c>
      <c r="R12">
        <v>1.0530015630410103</v>
      </c>
      <c r="S12">
        <v>30.892358273021252</v>
      </c>
      <c r="T12">
        <v>22.985971457342906</v>
      </c>
      <c r="U12">
        <v>2.8144315547624879</v>
      </c>
      <c r="V12">
        <v>14.560029886339573</v>
      </c>
      <c r="W12">
        <v>7.7570561414017423</v>
      </c>
      <c r="X12">
        <v>5.1487263788368756</v>
      </c>
      <c r="Y12">
        <v>0.20599999999999999</v>
      </c>
      <c r="Z12" t="s">
        <v>57</v>
      </c>
      <c r="AA12" t="s">
        <v>182</v>
      </c>
      <c r="AB12" t="s">
        <v>182</v>
      </c>
      <c r="AC12" t="s">
        <v>183</v>
      </c>
      <c r="AD12" t="s">
        <v>168</v>
      </c>
      <c r="AE12" t="s">
        <v>150</v>
      </c>
      <c r="AF12">
        <v>20</v>
      </c>
      <c r="AG12" t="s">
        <v>62</v>
      </c>
      <c r="AH12" t="s">
        <v>63</v>
      </c>
      <c r="AI12" t="s">
        <v>151</v>
      </c>
      <c r="AJ12" t="s">
        <v>152</v>
      </c>
      <c r="AK12" t="s">
        <v>209</v>
      </c>
      <c r="AL12" t="s">
        <v>210</v>
      </c>
      <c r="AM12">
        <v>1000</v>
      </c>
      <c r="AN12" t="s">
        <v>85</v>
      </c>
      <c r="AO12" t="s">
        <v>156</v>
      </c>
      <c r="AP12" t="s">
        <v>188</v>
      </c>
      <c r="AQ12" t="s">
        <v>211</v>
      </c>
      <c r="AR12" t="s">
        <v>174</v>
      </c>
      <c r="AS12" t="s">
        <v>212</v>
      </c>
      <c r="AT12" t="s">
        <v>151</v>
      </c>
      <c r="AU12" t="s">
        <v>191</v>
      </c>
      <c r="AV12" t="s">
        <v>76</v>
      </c>
    </row>
    <row r="13" spans="1:48" x14ac:dyDescent="0.35">
      <c r="A13" t="s">
        <v>213</v>
      </c>
      <c r="B13" t="s">
        <v>49</v>
      </c>
      <c r="C13" t="s">
        <v>214</v>
      </c>
      <c r="D13" t="s">
        <v>213</v>
      </c>
      <c r="E13" t="s">
        <v>215</v>
      </c>
      <c r="F13" t="s">
        <v>49</v>
      </c>
      <c r="G13" t="s">
        <v>216</v>
      </c>
      <c r="H13" t="s">
        <v>217</v>
      </c>
      <c r="I13" t="str">
        <f>HYPERLINK("https://www.ncbi.nlm.nih.gov/gene/5499", "https://www.ncbi.nlm.nih.gov/gene/5499")</f>
        <v>https://www.ncbi.nlm.nih.gov/gene/5499</v>
      </c>
      <c r="J13" t="s">
        <v>218</v>
      </c>
      <c r="K13" t="s">
        <v>55</v>
      </c>
      <c r="L13" t="s">
        <v>49</v>
      </c>
      <c r="M13" t="s">
        <v>56</v>
      </c>
      <c r="N13">
        <v>0.99999935389266881</v>
      </c>
      <c r="O13">
        <v>-39.161751551048354</v>
      </c>
      <c r="P13">
        <v>-1.5579069992908747</v>
      </c>
      <c r="Q13">
        <v>0.49283425397152503</v>
      </c>
      <c r="R13">
        <v>-0.30729911457369841</v>
      </c>
      <c r="S13">
        <v>25.137412932141604</v>
      </c>
      <c r="T13">
        <v>0.57051912823410367</v>
      </c>
      <c r="U13">
        <v>0.27477912387489295</v>
      </c>
      <c r="V13">
        <v>11.435963142569928</v>
      </c>
      <c r="W13">
        <v>0.39106213719778732</v>
      </c>
      <c r="X13">
        <v>4.1895688220236007</v>
      </c>
      <c r="Y13">
        <v>6.8599999999999994E-2</v>
      </c>
      <c r="Z13" t="s">
        <v>57</v>
      </c>
      <c r="AA13" t="s">
        <v>182</v>
      </c>
      <c r="AB13" t="s">
        <v>182</v>
      </c>
      <c r="AC13" t="s">
        <v>183</v>
      </c>
      <c r="AD13" t="s">
        <v>168</v>
      </c>
      <c r="AE13" t="s">
        <v>150</v>
      </c>
      <c r="AF13">
        <v>20</v>
      </c>
      <c r="AG13" t="s">
        <v>62</v>
      </c>
      <c r="AH13" t="s">
        <v>63</v>
      </c>
      <c r="AI13" t="s">
        <v>151</v>
      </c>
      <c r="AJ13" t="s">
        <v>152</v>
      </c>
      <c r="AK13" t="s">
        <v>219</v>
      </c>
      <c r="AL13" t="s">
        <v>220</v>
      </c>
      <c r="AM13">
        <v>1000</v>
      </c>
      <c r="AN13" t="s">
        <v>221</v>
      </c>
      <c r="AO13" t="s">
        <v>156</v>
      </c>
      <c r="AP13" t="s">
        <v>188</v>
      </c>
      <c r="AQ13" t="s">
        <v>222</v>
      </c>
      <c r="AR13" t="s">
        <v>174</v>
      </c>
      <c r="AS13" t="s">
        <v>212</v>
      </c>
      <c r="AT13" t="s">
        <v>151</v>
      </c>
      <c r="AU13" t="s">
        <v>191</v>
      </c>
      <c r="AV13" t="s">
        <v>76</v>
      </c>
    </row>
    <row r="14" spans="1:48" x14ac:dyDescent="0.35">
      <c r="A14" t="s">
        <v>223</v>
      </c>
      <c r="B14" t="s">
        <v>49</v>
      </c>
      <c r="C14" t="s">
        <v>224</v>
      </c>
      <c r="D14" t="s">
        <v>223</v>
      </c>
      <c r="E14" t="s">
        <v>225</v>
      </c>
      <c r="F14" t="s">
        <v>49</v>
      </c>
      <c r="G14" t="s">
        <v>226</v>
      </c>
      <c r="H14" t="s">
        <v>227</v>
      </c>
      <c r="I14" t="str">
        <f>HYPERLINK("https://www.ncbi.nlm.nih.gov/gene/5515", "https://www.ncbi.nlm.nih.gov/gene/5515")</f>
        <v>https://www.ncbi.nlm.nih.gov/gene/5515</v>
      </c>
      <c r="J14" t="s">
        <v>228</v>
      </c>
      <c r="K14" t="s">
        <v>55</v>
      </c>
      <c r="L14" t="s">
        <v>49</v>
      </c>
      <c r="M14" t="s">
        <v>56</v>
      </c>
      <c r="N14">
        <v>0.99835418294151645</v>
      </c>
      <c r="O14">
        <v>-35.602089320115724</v>
      </c>
      <c r="P14">
        <v>-1.7801044660057861</v>
      </c>
      <c r="Q14">
        <v>24.999999999999996</v>
      </c>
      <c r="R14">
        <v>1.3979400086720375</v>
      </c>
      <c r="S14">
        <v>20</v>
      </c>
      <c r="T14">
        <v>28.088239176316673</v>
      </c>
      <c r="U14">
        <v>5</v>
      </c>
      <c r="V14">
        <v>6.7353624513067309</v>
      </c>
      <c r="W14">
        <v>9.4592235735743007</v>
      </c>
      <c r="X14">
        <v>2.7929670329670313</v>
      </c>
      <c r="Y14">
        <v>5.56</v>
      </c>
      <c r="Z14" t="s">
        <v>57</v>
      </c>
      <c r="AA14" t="s">
        <v>182</v>
      </c>
      <c r="AB14" t="s">
        <v>182</v>
      </c>
      <c r="AC14" t="s">
        <v>183</v>
      </c>
      <c r="AD14" t="s">
        <v>168</v>
      </c>
      <c r="AE14" t="s">
        <v>150</v>
      </c>
      <c r="AF14">
        <v>20</v>
      </c>
      <c r="AG14" t="s">
        <v>62</v>
      </c>
      <c r="AH14" t="s">
        <v>63</v>
      </c>
      <c r="AI14" t="s">
        <v>151</v>
      </c>
      <c r="AJ14" t="s">
        <v>152</v>
      </c>
      <c r="AK14" t="s">
        <v>229</v>
      </c>
      <c r="AL14" t="s">
        <v>230</v>
      </c>
      <c r="AM14">
        <v>1000</v>
      </c>
      <c r="AN14" t="s">
        <v>221</v>
      </c>
      <c r="AO14" t="s">
        <v>156</v>
      </c>
      <c r="AP14" t="s">
        <v>188</v>
      </c>
      <c r="AQ14" t="s">
        <v>222</v>
      </c>
      <c r="AR14" t="s">
        <v>174</v>
      </c>
      <c r="AS14" t="s">
        <v>212</v>
      </c>
      <c r="AT14" t="s">
        <v>151</v>
      </c>
      <c r="AU14" t="s">
        <v>191</v>
      </c>
      <c r="AV14" t="s">
        <v>76</v>
      </c>
    </row>
    <row r="15" spans="1:48" x14ac:dyDescent="0.35">
      <c r="A15" t="s">
        <v>231</v>
      </c>
      <c r="B15" t="s">
        <v>49</v>
      </c>
      <c r="C15" t="s">
        <v>232</v>
      </c>
      <c r="D15" t="s">
        <v>231</v>
      </c>
      <c r="E15" t="s">
        <v>233</v>
      </c>
      <c r="F15" t="s">
        <v>49</v>
      </c>
      <c r="G15" t="s">
        <v>234</v>
      </c>
      <c r="H15" t="s">
        <v>235</v>
      </c>
      <c r="I15" t="str">
        <f>HYPERLINK("https://www.ncbi.nlm.nih.gov/gene/7010", "https://www.ncbi.nlm.nih.gov/gene/7010")</f>
        <v>https://www.ncbi.nlm.nih.gov/gene/7010</v>
      </c>
      <c r="J15" t="s">
        <v>236</v>
      </c>
      <c r="K15" t="s">
        <v>55</v>
      </c>
      <c r="L15" t="s">
        <v>49</v>
      </c>
      <c r="M15" t="s">
        <v>56</v>
      </c>
      <c r="N15">
        <v>0.99990709085144158</v>
      </c>
      <c r="O15">
        <v>-63.223614364393399</v>
      </c>
      <c r="P15">
        <v>-3.1611807182196698</v>
      </c>
      <c r="Q15">
        <v>13.704028010667599</v>
      </c>
      <c r="R15">
        <v>1.1368482376446942</v>
      </c>
      <c r="S15">
        <v>20</v>
      </c>
      <c r="T15">
        <v>9.7800011619051901</v>
      </c>
      <c r="U15">
        <v>4.7542155686271954</v>
      </c>
      <c r="V15">
        <v>4.2128435780285445</v>
      </c>
      <c r="W15">
        <v>3.746491490452712</v>
      </c>
      <c r="X15">
        <v>1.3037844062193473</v>
      </c>
      <c r="Y15">
        <v>0.61699999999999999</v>
      </c>
      <c r="Z15" t="s">
        <v>57</v>
      </c>
      <c r="AA15" t="s">
        <v>182</v>
      </c>
      <c r="AB15" t="s">
        <v>182</v>
      </c>
      <c r="AC15" t="s">
        <v>183</v>
      </c>
      <c r="AD15" t="s">
        <v>168</v>
      </c>
      <c r="AE15" t="s">
        <v>198</v>
      </c>
      <c r="AF15">
        <v>20</v>
      </c>
      <c r="AG15" t="s">
        <v>62</v>
      </c>
      <c r="AH15" t="s">
        <v>63</v>
      </c>
      <c r="AI15" t="s">
        <v>151</v>
      </c>
      <c r="AJ15" t="s">
        <v>152</v>
      </c>
      <c r="AK15" t="s">
        <v>237</v>
      </c>
      <c r="AL15" t="s">
        <v>238</v>
      </c>
      <c r="AM15">
        <v>1000</v>
      </c>
      <c r="AN15" t="s">
        <v>85</v>
      </c>
      <c r="AO15" t="s">
        <v>156</v>
      </c>
      <c r="AP15" t="s">
        <v>157</v>
      </c>
      <c r="AQ15" t="s">
        <v>239</v>
      </c>
      <c r="AR15" t="s">
        <v>174</v>
      </c>
      <c r="AS15" t="s">
        <v>212</v>
      </c>
      <c r="AT15" t="s">
        <v>151</v>
      </c>
      <c r="AU15" t="s">
        <v>191</v>
      </c>
      <c r="AV15" t="s">
        <v>76</v>
      </c>
    </row>
    <row r="16" spans="1:48" x14ac:dyDescent="0.35">
      <c r="A16" t="s">
        <v>240</v>
      </c>
      <c r="B16" t="s">
        <v>49</v>
      </c>
      <c r="C16" t="s">
        <v>241</v>
      </c>
      <c r="D16" t="s">
        <v>240</v>
      </c>
      <c r="E16" t="s">
        <v>242</v>
      </c>
      <c r="F16" t="s">
        <v>49</v>
      </c>
      <c r="G16" t="s">
        <v>243</v>
      </c>
      <c r="H16" t="s">
        <v>244</v>
      </c>
      <c r="I16" t="str">
        <f>HYPERLINK("https://www.ncbi.nlm.nih.gov/gene/100379538", "https://www.ncbi.nlm.nih.gov/gene/100379538")</f>
        <v>https://www.ncbi.nlm.nih.gov/gene/100379538</v>
      </c>
      <c r="J16" t="s">
        <v>245</v>
      </c>
      <c r="K16" t="s">
        <v>55</v>
      </c>
      <c r="L16" t="s">
        <v>49</v>
      </c>
      <c r="M16" t="s">
        <v>56</v>
      </c>
      <c r="N16">
        <v>0.99927370170228391</v>
      </c>
      <c r="O16">
        <v>-49.386574141298411</v>
      </c>
      <c r="P16">
        <v>-1.658956287567608</v>
      </c>
      <c r="Q16">
        <v>12.094539099222336</v>
      </c>
      <c r="R16">
        <v>1.0825893228443733</v>
      </c>
      <c r="S16">
        <v>29.769665729836625</v>
      </c>
      <c r="T16">
        <v>17.735443955119639</v>
      </c>
      <c r="U16">
        <v>0.44812348146711739</v>
      </c>
      <c r="V16">
        <v>16.565070644886262</v>
      </c>
      <c r="W16">
        <v>5.3403502819795525</v>
      </c>
      <c r="X16">
        <v>4.9616109549727705</v>
      </c>
      <c r="Y16">
        <v>6.8599999999999994E-2</v>
      </c>
      <c r="Z16" t="s">
        <v>57</v>
      </c>
      <c r="AA16" t="s">
        <v>182</v>
      </c>
      <c r="AB16" t="s">
        <v>182</v>
      </c>
      <c r="AC16" t="s">
        <v>183</v>
      </c>
      <c r="AD16" t="s">
        <v>149</v>
      </c>
      <c r="AE16" t="s">
        <v>150</v>
      </c>
      <c r="AF16">
        <v>20</v>
      </c>
      <c r="AG16" t="s">
        <v>62</v>
      </c>
      <c r="AH16" t="s">
        <v>246</v>
      </c>
      <c r="AI16" t="s">
        <v>151</v>
      </c>
      <c r="AJ16" t="s">
        <v>247</v>
      </c>
      <c r="AK16" t="s">
        <v>248</v>
      </c>
      <c r="AL16" t="s">
        <v>249</v>
      </c>
      <c r="AM16">
        <v>1000</v>
      </c>
      <c r="AN16" t="s">
        <v>250</v>
      </c>
      <c r="AO16" t="s">
        <v>156</v>
      </c>
      <c r="AP16" t="s">
        <v>157</v>
      </c>
      <c r="AQ16" t="s">
        <v>251</v>
      </c>
      <c r="AR16" t="s">
        <v>159</v>
      </c>
      <c r="AS16" t="s">
        <v>252</v>
      </c>
      <c r="AT16" t="s">
        <v>253</v>
      </c>
      <c r="AU16" t="s">
        <v>191</v>
      </c>
      <c r="AV16" t="s">
        <v>76</v>
      </c>
    </row>
    <row r="17" spans="1:48" x14ac:dyDescent="0.35">
      <c r="A17" t="s">
        <v>254</v>
      </c>
      <c r="B17" t="s">
        <v>49</v>
      </c>
      <c r="C17" t="s">
        <v>255</v>
      </c>
      <c r="D17" t="s">
        <v>254</v>
      </c>
      <c r="E17" t="s">
        <v>256</v>
      </c>
      <c r="F17" t="s">
        <v>49</v>
      </c>
      <c r="G17" t="s">
        <v>257</v>
      </c>
      <c r="H17" t="s">
        <v>258</v>
      </c>
      <c r="I17" t="str">
        <f>HYPERLINK("https://www.ncbi.nlm.nih.gov/gene/135", "https://www.ncbi.nlm.nih.gov/gene/135")</f>
        <v>https://www.ncbi.nlm.nih.gov/gene/135</v>
      </c>
      <c r="J17" t="s">
        <v>259</v>
      </c>
      <c r="K17" t="s">
        <v>55</v>
      </c>
      <c r="L17" t="s">
        <v>49</v>
      </c>
      <c r="M17" t="s">
        <v>56</v>
      </c>
      <c r="N17">
        <v>0.99988841869369005</v>
      </c>
      <c r="O17">
        <v>-48.110371890918373</v>
      </c>
      <c r="P17">
        <v>-2.0483450270076076</v>
      </c>
      <c r="Q17">
        <v>11.000530420957414</v>
      </c>
      <c r="R17">
        <v>1.0414136263710529</v>
      </c>
      <c r="S17">
        <v>23.487435591455018</v>
      </c>
      <c r="T17">
        <v>10.693797699283289</v>
      </c>
      <c r="U17">
        <v>1.9470030651283829</v>
      </c>
      <c r="V17">
        <v>6.1431980576464875</v>
      </c>
      <c r="W17">
        <v>2.5038381343595728</v>
      </c>
      <c r="X17">
        <v>3.9145725985758362</v>
      </c>
      <c r="Y17">
        <v>6.8599999999999994E-2</v>
      </c>
      <c r="Z17" t="s">
        <v>57</v>
      </c>
      <c r="AA17" t="s">
        <v>182</v>
      </c>
      <c r="AB17" t="s">
        <v>182</v>
      </c>
      <c r="AC17" t="s">
        <v>183</v>
      </c>
      <c r="AD17" t="s">
        <v>149</v>
      </c>
      <c r="AE17" t="s">
        <v>150</v>
      </c>
      <c r="AF17">
        <v>20</v>
      </c>
      <c r="AG17" t="s">
        <v>62</v>
      </c>
      <c r="AH17" t="s">
        <v>63</v>
      </c>
      <c r="AI17" t="s">
        <v>151</v>
      </c>
      <c r="AJ17" t="s">
        <v>152</v>
      </c>
      <c r="AK17" t="s">
        <v>260</v>
      </c>
      <c r="AL17" t="s">
        <v>261</v>
      </c>
      <c r="AM17">
        <v>1000</v>
      </c>
      <c r="AN17" t="s">
        <v>250</v>
      </c>
      <c r="AO17" t="s">
        <v>156</v>
      </c>
      <c r="AP17" t="s">
        <v>157</v>
      </c>
      <c r="AQ17" t="s">
        <v>251</v>
      </c>
      <c r="AR17" t="s">
        <v>159</v>
      </c>
      <c r="AS17" t="s">
        <v>252</v>
      </c>
      <c r="AT17" t="s">
        <v>151</v>
      </c>
      <c r="AU17" t="s">
        <v>191</v>
      </c>
      <c r="AV17" t="s">
        <v>76</v>
      </c>
    </row>
    <row r="18" spans="1:48" x14ac:dyDescent="0.35">
      <c r="A18" t="s">
        <v>262</v>
      </c>
      <c r="B18" t="s">
        <v>49</v>
      </c>
      <c r="C18" t="s">
        <v>263</v>
      </c>
      <c r="D18" t="s">
        <v>262</v>
      </c>
      <c r="E18" t="s">
        <v>264</v>
      </c>
      <c r="F18" t="s">
        <v>49</v>
      </c>
      <c r="G18" t="s">
        <v>265</v>
      </c>
      <c r="H18" t="s">
        <v>266</v>
      </c>
      <c r="I18" t="str">
        <f>HYPERLINK("https://www.ncbi.nlm.nih.gov/gene/1241", "https://www.ncbi.nlm.nih.gov/gene/1241")</f>
        <v>https://www.ncbi.nlm.nih.gov/gene/1241</v>
      </c>
      <c r="J18" t="s">
        <v>245</v>
      </c>
      <c r="K18" t="s">
        <v>55</v>
      </c>
      <c r="L18" t="s">
        <v>49</v>
      </c>
      <c r="M18" t="s">
        <v>56</v>
      </c>
      <c r="N18">
        <v>0.98155808019229529</v>
      </c>
      <c r="O18">
        <v>-44.142593479908193</v>
      </c>
      <c r="P18">
        <v>-1.6088377925680899</v>
      </c>
      <c r="Q18">
        <v>35.157969279408022</v>
      </c>
      <c r="R18">
        <v>1.5460237823227523</v>
      </c>
      <c r="S18">
        <v>27.437566225645444</v>
      </c>
      <c r="T18">
        <v>39.577643519868516</v>
      </c>
      <c r="U18">
        <v>11.536527448070842</v>
      </c>
      <c r="V18">
        <v>8.0558143633541839</v>
      </c>
      <c r="W18">
        <v>18.361571695734941</v>
      </c>
      <c r="X18">
        <v>4.5729277042742407</v>
      </c>
      <c r="Y18">
        <v>1.85</v>
      </c>
      <c r="Z18" t="s">
        <v>57</v>
      </c>
      <c r="AA18" t="s">
        <v>182</v>
      </c>
      <c r="AB18" t="s">
        <v>182</v>
      </c>
      <c r="AC18" t="s">
        <v>183</v>
      </c>
      <c r="AD18" t="s">
        <v>149</v>
      </c>
      <c r="AE18" t="s">
        <v>267</v>
      </c>
      <c r="AF18">
        <v>20</v>
      </c>
      <c r="AG18" t="s">
        <v>62</v>
      </c>
      <c r="AH18" t="s">
        <v>63</v>
      </c>
      <c r="AI18" t="s">
        <v>151</v>
      </c>
      <c r="AJ18" t="s">
        <v>152</v>
      </c>
      <c r="AK18" t="s">
        <v>268</v>
      </c>
      <c r="AL18" t="s">
        <v>269</v>
      </c>
      <c r="AM18">
        <v>1000</v>
      </c>
      <c r="AN18" t="s">
        <v>250</v>
      </c>
      <c r="AO18" t="s">
        <v>156</v>
      </c>
      <c r="AP18" t="s">
        <v>157</v>
      </c>
      <c r="AQ18" t="s">
        <v>251</v>
      </c>
      <c r="AR18" t="s">
        <v>159</v>
      </c>
      <c r="AS18" t="s">
        <v>252</v>
      </c>
      <c r="AT18" t="s">
        <v>151</v>
      </c>
      <c r="AU18" t="s">
        <v>191</v>
      </c>
      <c r="AV18" t="s">
        <v>76</v>
      </c>
    </row>
    <row r="19" spans="1:48" x14ac:dyDescent="0.35">
      <c r="A19" t="s">
        <v>270</v>
      </c>
      <c r="B19" t="s">
        <v>49</v>
      </c>
      <c r="C19" t="s">
        <v>271</v>
      </c>
      <c r="D19" t="s">
        <v>270</v>
      </c>
      <c r="E19" t="s">
        <v>272</v>
      </c>
      <c r="F19" t="s">
        <v>49</v>
      </c>
      <c r="G19" t="s">
        <v>273</v>
      </c>
      <c r="H19" t="s">
        <v>274</v>
      </c>
      <c r="I19" t="str">
        <f>HYPERLINK("https://www.ncbi.nlm.nih.gov/gene/9970", "https://www.ncbi.nlm.nih.gov/gene/9970")</f>
        <v>https://www.ncbi.nlm.nih.gov/gene/9970</v>
      </c>
      <c r="J19" t="s">
        <v>275</v>
      </c>
      <c r="K19" t="s">
        <v>55</v>
      </c>
      <c r="L19" t="s">
        <v>49</v>
      </c>
      <c r="M19" t="s">
        <v>56</v>
      </c>
      <c r="N19">
        <v>0.99954908861196234</v>
      </c>
      <c r="O19">
        <v>-38.681963653276178</v>
      </c>
      <c r="P19">
        <v>-1.9340981826638088</v>
      </c>
      <c r="Q19">
        <v>16.328374692590728</v>
      </c>
      <c r="R19">
        <v>1.2129429577208433</v>
      </c>
      <c r="S19">
        <v>20</v>
      </c>
      <c r="T19">
        <v>17.145037203986593</v>
      </c>
      <c r="U19">
        <v>2.4819634642036577</v>
      </c>
      <c r="V19">
        <v>14.611891421579449</v>
      </c>
      <c r="W19">
        <v>11.175475392313682</v>
      </c>
      <c r="X19">
        <v>3.1154933244456608</v>
      </c>
      <c r="Y19">
        <v>2.29E-2</v>
      </c>
      <c r="Z19" t="s">
        <v>57</v>
      </c>
      <c r="AA19" t="s">
        <v>182</v>
      </c>
      <c r="AB19" t="s">
        <v>182</v>
      </c>
      <c r="AC19" t="s">
        <v>183</v>
      </c>
      <c r="AD19" t="s">
        <v>149</v>
      </c>
      <c r="AE19" t="s">
        <v>150</v>
      </c>
      <c r="AF19">
        <v>20</v>
      </c>
      <c r="AG19" t="s">
        <v>62</v>
      </c>
      <c r="AH19" t="s">
        <v>63</v>
      </c>
      <c r="AI19" t="s">
        <v>151</v>
      </c>
      <c r="AJ19" t="s">
        <v>152</v>
      </c>
      <c r="AK19" t="s">
        <v>276</v>
      </c>
      <c r="AL19" t="s">
        <v>277</v>
      </c>
      <c r="AM19">
        <v>1000</v>
      </c>
      <c r="AN19" t="s">
        <v>155</v>
      </c>
      <c r="AO19" t="s">
        <v>156</v>
      </c>
      <c r="AP19" t="s">
        <v>157</v>
      </c>
      <c r="AQ19" t="s">
        <v>158</v>
      </c>
      <c r="AR19" t="s">
        <v>159</v>
      </c>
      <c r="AS19" t="s">
        <v>278</v>
      </c>
      <c r="AT19" t="s">
        <v>151</v>
      </c>
      <c r="AU19" t="s">
        <v>191</v>
      </c>
      <c r="AV19" t="s">
        <v>76</v>
      </c>
    </row>
    <row r="20" spans="1:48" x14ac:dyDescent="0.35">
      <c r="A20" t="s">
        <v>279</v>
      </c>
      <c r="B20" t="s">
        <v>49</v>
      </c>
      <c r="C20" t="s">
        <v>280</v>
      </c>
      <c r="D20" t="s">
        <v>279</v>
      </c>
      <c r="E20" t="s">
        <v>281</v>
      </c>
      <c r="F20" t="s">
        <v>49</v>
      </c>
      <c r="G20" t="s">
        <v>282</v>
      </c>
      <c r="H20" t="s">
        <v>283</v>
      </c>
      <c r="I20" t="str">
        <f>HYPERLINK("https://www.ncbi.nlm.nih.gov/gene/5468", "https://www.ncbi.nlm.nih.gov/gene/5468")</f>
        <v>https://www.ncbi.nlm.nih.gov/gene/5468</v>
      </c>
      <c r="J20" t="s">
        <v>284</v>
      </c>
      <c r="K20" t="s">
        <v>55</v>
      </c>
      <c r="L20" t="s">
        <v>49</v>
      </c>
      <c r="M20" t="s">
        <v>56</v>
      </c>
      <c r="N20">
        <v>0.98064023216681606</v>
      </c>
      <c r="O20">
        <v>-37.92173595345119</v>
      </c>
      <c r="P20">
        <v>-1.2561571482100082</v>
      </c>
      <c r="Q20">
        <v>18.729407354756045</v>
      </c>
      <c r="R20">
        <v>1.2725240354301628</v>
      </c>
      <c r="S20">
        <v>30.188687782805431</v>
      </c>
      <c r="T20">
        <v>28.115613890086106</v>
      </c>
      <c r="U20">
        <v>9.7253248801009722</v>
      </c>
      <c r="V20">
        <v>16.583827709685128</v>
      </c>
      <c r="W20">
        <v>17.372948114455792</v>
      </c>
      <c r="X20">
        <v>5.0314479638009049</v>
      </c>
      <c r="Y20">
        <v>1.85</v>
      </c>
      <c r="Z20" t="s">
        <v>57</v>
      </c>
      <c r="AA20" t="s">
        <v>182</v>
      </c>
      <c r="AB20" t="s">
        <v>182</v>
      </c>
      <c r="AC20" t="s">
        <v>183</v>
      </c>
      <c r="AD20" t="s">
        <v>149</v>
      </c>
      <c r="AE20" t="s">
        <v>150</v>
      </c>
      <c r="AF20">
        <v>20</v>
      </c>
      <c r="AG20" t="s">
        <v>62</v>
      </c>
      <c r="AH20" t="s">
        <v>63</v>
      </c>
      <c r="AI20" t="s">
        <v>151</v>
      </c>
      <c r="AJ20" t="s">
        <v>152</v>
      </c>
      <c r="AK20" t="s">
        <v>285</v>
      </c>
      <c r="AL20" t="s">
        <v>286</v>
      </c>
      <c r="AM20">
        <v>1000</v>
      </c>
      <c r="AN20" t="s">
        <v>155</v>
      </c>
      <c r="AO20" t="s">
        <v>156</v>
      </c>
      <c r="AP20" t="s">
        <v>157</v>
      </c>
      <c r="AQ20" t="s">
        <v>158</v>
      </c>
      <c r="AR20" t="s">
        <v>159</v>
      </c>
      <c r="AS20" t="s">
        <v>287</v>
      </c>
      <c r="AT20" t="s">
        <v>151</v>
      </c>
      <c r="AU20" t="s">
        <v>191</v>
      </c>
      <c r="AV20" t="s">
        <v>76</v>
      </c>
    </row>
    <row r="21" spans="1:48" x14ac:dyDescent="0.35">
      <c r="A21" t="s">
        <v>288</v>
      </c>
      <c r="B21" t="s">
        <v>49</v>
      </c>
      <c r="C21" t="s">
        <v>289</v>
      </c>
      <c r="D21" t="s">
        <v>288</v>
      </c>
      <c r="E21" t="s">
        <v>290</v>
      </c>
      <c r="F21" t="s">
        <v>49</v>
      </c>
      <c r="G21" t="s">
        <v>291</v>
      </c>
      <c r="H21" t="s">
        <v>292</v>
      </c>
      <c r="I21" t="str">
        <f>HYPERLINK("https://www.ncbi.nlm.nih.gov/gene/51", "https://www.ncbi.nlm.nih.gov/gene/51")</f>
        <v>https://www.ncbi.nlm.nih.gov/gene/51</v>
      </c>
      <c r="J21" t="s">
        <v>293</v>
      </c>
      <c r="K21" t="s">
        <v>55</v>
      </c>
      <c r="L21" t="s">
        <v>49</v>
      </c>
      <c r="M21" t="s">
        <v>56</v>
      </c>
      <c r="N21">
        <v>0.99245185673754566</v>
      </c>
      <c r="O21">
        <v>0.80440803529765081</v>
      </c>
      <c r="P21">
        <v>1.988861348889059</v>
      </c>
      <c r="Q21">
        <v>3.4750512818493378</v>
      </c>
      <c r="R21">
        <v>0.54096121792177498</v>
      </c>
      <c r="S21">
        <v>0.40445656794878043</v>
      </c>
      <c r="T21">
        <v>3.5032080519126172</v>
      </c>
      <c r="U21">
        <v>0.5282185447212856</v>
      </c>
      <c r="V21">
        <v>15.843169013501738</v>
      </c>
      <c r="W21" t="s">
        <v>49</v>
      </c>
      <c r="X21">
        <v>0.13481885598292681</v>
      </c>
      <c r="Y21">
        <v>100</v>
      </c>
      <c r="Z21" t="s">
        <v>57</v>
      </c>
      <c r="AA21" t="s">
        <v>58</v>
      </c>
      <c r="AB21" t="s">
        <v>58</v>
      </c>
      <c r="AC21" t="s">
        <v>59</v>
      </c>
      <c r="AD21" t="s">
        <v>60</v>
      </c>
      <c r="AE21" t="s">
        <v>61</v>
      </c>
      <c r="AF21">
        <v>20</v>
      </c>
      <c r="AG21" t="s">
        <v>62</v>
      </c>
      <c r="AH21" t="s">
        <v>63</v>
      </c>
      <c r="AI21" t="s">
        <v>64</v>
      </c>
      <c r="AJ21" t="s">
        <v>65</v>
      </c>
      <c r="AK21" t="s">
        <v>294</v>
      </c>
      <c r="AL21" t="s">
        <v>295</v>
      </c>
      <c r="AM21">
        <v>1000</v>
      </c>
      <c r="AN21" t="s">
        <v>296</v>
      </c>
      <c r="AO21" t="s">
        <v>69</v>
      </c>
      <c r="AP21" t="s">
        <v>70</v>
      </c>
      <c r="AQ21" t="s">
        <v>297</v>
      </c>
      <c r="AR21" t="s">
        <v>72</v>
      </c>
      <c r="AS21" t="s">
        <v>73</v>
      </c>
      <c r="AT21" t="s">
        <v>74</v>
      </c>
      <c r="AU21" t="s">
        <v>75</v>
      </c>
      <c r="AV21" t="s">
        <v>76</v>
      </c>
    </row>
    <row r="22" spans="1:48" x14ac:dyDescent="0.35">
      <c r="A22" t="s">
        <v>298</v>
      </c>
      <c r="B22" t="s">
        <v>49</v>
      </c>
      <c r="C22" t="s">
        <v>299</v>
      </c>
      <c r="D22" t="s">
        <v>298</v>
      </c>
      <c r="E22" t="s">
        <v>300</v>
      </c>
      <c r="F22" t="s">
        <v>49</v>
      </c>
      <c r="G22" t="s">
        <v>301</v>
      </c>
      <c r="H22" t="s">
        <v>302</v>
      </c>
      <c r="I22" t="str">
        <f>HYPERLINK("https://www.ncbi.nlm.nih.gov/gene/250", "https://www.ncbi.nlm.nih.gov/gene/250")</f>
        <v>https://www.ncbi.nlm.nih.gov/gene/250</v>
      </c>
      <c r="J22" t="s">
        <v>303</v>
      </c>
      <c r="K22" t="s">
        <v>55</v>
      </c>
      <c r="L22" t="s">
        <v>49</v>
      </c>
      <c r="M22" t="s">
        <v>56</v>
      </c>
      <c r="N22">
        <v>0.9934614363692279</v>
      </c>
      <c r="O22">
        <v>-2.2470885083849192</v>
      </c>
      <c r="P22">
        <v>-2.239400942081256</v>
      </c>
      <c r="Q22">
        <v>9.9212603962746915</v>
      </c>
      <c r="R22">
        <v>0.99656684840174692</v>
      </c>
      <c r="S22">
        <v>1.0034328673169703</v>
      </c>
      <c r="T22">
        <v>6.8060323024126017</v>
      </c>
      <c r="U22">
        <v>4.641594772721197E-2</v>
      </c>
      <c r="V22">
        <v>13.082147165348555</v>
      </c>
      <c r="W22">
        <v>1000</v>
      </c>
      <c r="X22">
        <v>0.3344776224389901</v>
      </c>
      <c r="Y22">
        <v>3.16227766016838</v>
      </c>
      <c r="Z22" t="s">
        <v>57</v>
      </c>
      <c r="AA22" t="s">
        <v>58</v>
      </c>
      <c r="AB22" t="s">
        <v>58</v>
      </c>
      <c r="AC22" t="s">
        <v>59</v>
      </c>
      <c r="AD22" t="s">
        <v>60</v>
      </c>
      <c r="AE22" t="s">
        <v>103</v>
      </c>
      <c r="AF22">
        <v>20</v>
      </c>
      <c r="AG22" t="s">
        <v>62</v>
      </c>
      <c r="AH22" t="s">
        <v>63</v>
      </c>
      <c r="AI22" t="s">
        <v>64</v>
      </c>
      <c r="AJ22" t="s">
        <v>65</v>
      </c>
      <c r="AK22" t="s">
        <v>304</v>
      </c>
      <c r="AL22" t="s">
        <v>305</v>
      </c>
      <c r="AM22">
        <v>1000</v>
      </c>
      <c r="AN22" t="s">
        <v>221</v>
      </c>
      <c r="AO22" t="s">
        <v>69</v>
      </c>
      <c r="AP22" t="s">
        <v>70</v>
      </c>
      <c r="AQ22" t="s">
        <v>306</v>
      </c>
      <c r="AR22" t="s">
        <v>72</v>
      </c>
      <c r="AS22" t="s">
        <v>73</v>
      </c>
      <c r="AT22" t="s">
        <v>74</v>
      </c>
      <c r="AU22" t="s">
        <v>75</v>
      </c>
      <c r="AV22" t="s">
        <v>76</v>
      </c>
    </row>
    <row r="23" spans="1:48" x14ac:dyDescent="0.35">
      <c r="A23" t="s">
        <v>307</v>
      </c>
      <c r="B23" t="s">
        <v>49</v>
      </c>
      <c r="C23" t="s">
        <v>308</v>
      </c>
      <c r="D23" t="s">
        <v>307</v>
      </c>
      <c r="E23" t="s">
        <v>309</v>
      </c>
      <c r="F23" t="s">
        <v>49</v>
      </c>
      <c r="G23" t="s">
        <v>310</v>
      </c>
      <c r="H23" t="s">
        <v>311</v>
      </c>
      <c r="I23" t="str">
        <f>HYPERLINK("https://www.ncbi.nlm.nih.gov/gene/847", "https://www.ncbi.nlm.nih.gov/gene/847")</f>
        <v>https://www.ncbi.nlm.nih.gov/gene/847</v>
      </c>
      <c r="J23" t="s">
        <v>312</v>
      </c>
      <c r="K23" t="s">
        <v>55</v>
      </c>
      <c r="L23" t="s">
        <v>49</v>
      </c>
      <c r="M23" t="s">
        <v>56</v>
      </c>
      <c r="N23">
        <v>0.99353375008914091</v>
      </c>
      <c r="O23">
        <v>1.1223123556393948</v>
      </c>
      <c r="P23">
        <v>1.9775011320609388</v>
      </c>
      <c r="Q23">
        <v>23.341208132567854</v>
      </c>
      <c r="R23">
        <v>1.3681233312178618</v>
      </c>
      <c r="S23">
        <v>0.56754068932932955</v>
      </c>
      <c r="T23">
        <v>23.902123897665074</v>
      </c>
      <c r="U23">
        <v>0.79606978679151708</v>
      </c>
      <c r="V23">
        <v>15.84098094030168</v>
      </c>
      <c r="W23">
        <v>1000</v>
      </c>
      <c r="X23">
        <v>0.18918022977644317</v>
      </c>
      <c r="Y23">
        <v>100</v>
      </c>
      <c r="Z23" t="s">
        <v>57</v>
      </c>
      <c r="AA23" t="s">
        <v>58</v>
      </c>
      <c r="AB23" t="s">
        <v>58</v>
      </c>
      <c r="AC23" t="s">
        <v>59</v>
      </c>
      <c r="AD23" t="s">
        <v>60</v>
      </c>
      <c r="AE23" t="s">
        <v>103</v>
      </c>
      <c r="AF23">
        <v>20</v>
      </c>
      <c r="AG23" t="s">
        <v>62</v>
      </c>
      <c r="AH23" t="s">
        <v>63</v>
      </c>
      <c r="AI23" t="s">
        <v>64</v>
      </c>
      <c r="AJ23" t="s">
        <v>65</v>
      </c>
      <c r="AK23" t="s">
        <v>313</v>
      </c>
      <c r="AL23" t="s">
        <v>314</v>
      </c>
      <c r="AM23">
        <v>1000</v>
      </c>
      <c r="AN23" t="s">
        <v>312</v>
      </c>
      <c r="AO23" t="s">
        <v>69</v>
      </c>
      <c r="AP23" t="s">
        <v>70</v>
      </c>
      <c r="AQ23" t="s">
        <v>315</v>
      </c>
      <c r="AR23" t="s">
        <v>72</v>
      </c>
      <c r="AS23" t="s">
        <v>73</v>
      </c>
      <c r="AT23" t="s">
        <v>74</v>
      </c>
      <c r="AU23" t="s">
        <v>75</v>
      </c>
      <c r="AV23" t="s">
        <v>76</v>
      </c>
    </row>
    <row r="24" spans="1:48" x14ac:dyDescent="0.35">
      <c r="A24" t="s">
        <v>316</v>
      </c>
      <c r="B24" t="s">
        <v>49</v>
      </c>
      <c r="C24" t="s">
        <v>317</v>
      </c>
      <c r="D24" t="s">
        <v>316</v>
      </c>
      <c r="E24" t="s">
        <v>318</v>
      </c>
      <c r="F24" t="s">
        <v>49</v>
      </c>
      <c r="G24" t="s">
        <v>319</v>
      </c>
      <c r="H24" t="s">
        <v>320</v>
      </c>
      <c r="I24" t="str">
        <f>HYPERLINK("https://www.ncbi.nlm.nih.gov/gene/1555", "https://www.ncbi.nlm.nih.gov/gene/1555")</f>
        <v>https://www.ncbi.nlm.nih.gov/gene/1555</v>
      </c>
      <c r="J24" t="s">
        <v>321</v>
      </c>
      <c r="K24" t="s">
        <v>55</v>
      </c>
      <c r="L24" t="s">
        <v>49</v>
      </c>
      <c r="M24" t="s">
        <v>56</v>
      </c>
      <c r="N24">
        <v>0.99999131340634195</v>
      </c>
      <c r="O24">
        <v>1.860406266352999</v>
      </c>
      <c r="P24">
        <v>2.4678533555741806</v>
      </c>
      <c r="Q24">
        <v>17.853570191818349</v>
      </c>
      <c r="R24">
        <v>1.251725075325911</v>
      </c>
      <c r="S24">
        <v>0.75385608393256798</v>
      </c>
      <c r="T24">
        <v>10.587799630191462</v>
      </c>
      <c r="U24">
        <v>0.32680184898459563</v>
      </c>
      <c r="V24">
        <v>6.4316202201740644</v>
      </c>
      <c r="W24">
        <v>1000</v>
      </c>
      <c r="X24">
        <v>0.25128536131085599</v>
      </c>
      <c r="Y24">
        <v>100</v>
      </c>
      <c r="Z24" t="s">
        <v>57</v>
      </c>
      <c r="AA24" t="s">
        <v>58</v>
      </c>
      <c r="AB24" t="s">
        <v>58</v>
      </c>
      <c r="AC24" t="s">
        <v>59</v>
      </c>
      <c r="AD24" t="s">
        <v>60</v>
      </c>
      <c r="AE24" t="s">
        <v>103</v>
      </c>
      <c r="AF24">
        <v>20</v>
      </c>
      <c r="AG24" t="s">
        <v>62</v>
      </c>
      <c r="AH24" t="s">
        <v>63</v>
      </c>
      <c r="AI24" t="s">
        <v>64</v>
      </c>
      <c r="AJ24" t="s">
        <v>65</v>
      </c>
      <c r="AK24" t="s">
        <v>322</v>
      </c>
      <c r="AL24" t="s">
        <v>323</v>
      </c>
      <c r="AM24">
        <v>1000</v>
      </c>
      <c r="AN24" t="s">
        <v>171</v>
      </c>
      <c r="AO24" t="s">
        <v>69</v>
      </c>
      <c r="AP24" t="s">
        <v>70</v>
      </c>
      <c r="AQ24" t="s">
        <v>189</v>
      </c>
      <c r="AR24" t="s">
        <v>72</v>
      </c>
      <c r="AS24" t="s">
        <v>73</v>
      </c>
      <c r="AT24" t="s">
        <v>74</v>
      </c>
      <c r="AU24" t="s">
        <v>75</v>
      </c>
      <c r="AV24" t="s">
        <v>76</v>
      </c>
    </row>
    <row r="25" spans="1:48" x14ac:dyDescent="0.35">
      <c r="A25" t="s">
        <v>324</v>
      </c>
      <c r="B25" t="s">
        <v>49</v>
      </c>
      <c r="C25" t="s">
        <v>325</v>
      </c>
      <c r="D25" t="s">
        <v>324</v>
      </c>
      <c r="E25" t="s">
        <v>326</v>
      </c>
      <c r="F25" t="s">
        <v>49</v>
      </c>
      <c r="G25" t="s">
        <v>327</v>
      </c>
      <c r="H25" t="s">
        <v>328</v>
      </c>
      <c r="I25" t="str">
        <f>HYPERLINK("https://www.ncbi.nlm.nih.gov/gene/1557", "https://www.ncbi.nlm.nih.gov/gene/1557")</f>
        <v>https://www.ncbi.nlm.nih.gov/gene/1557</v>
      </c>
      <c r="J25" t="s">
        <v>329</v>
      </c>
      <c r="K25" t="s">
        <v>55</v>
      </c>
      <c r="L25" t="s">
        <v>49</v>
      </c>
      <c r="M25" t="s">
        <v>56</v>
      </c>
      <c r="N25">
        <v>0.99997666485770631</v>
      </c>
      <c r="O25">
        <v>1.4499090349471426</v>
      </c>
      <c r="P25">
        <v>2.5853762182109992</v>
      </c>
      <c r="Q25">
        <v>9.9212571552811024</v>
      </c>
      <c r="R25">
        <v>0.99656670653006885</v>
      </c>
      <c r="S25">
        <v>0.5608116237529388</v>
      </c>
      <c r="T25">
        <v>4.2161967533369378</v>
      </c>
      <c r="U25">
        <v>4.6415897357599614E-2</v>
      </c>
      <c r="V25">
        <v>6.4292161638926171</v>
      </c>
      <c r="W25">
        <v>1000</v>
      </c>
      <c r="X25">
        <v>0.18693720791764629</v>
      </c>
      <c r="Y25">
        <v>100</v>
      </c>
      <c r="Z25" t="s">
        <v>57</v>
      </c>
      <c r="AA25" t="s">
        <v>58</v>
      </c>
      <c r="AB25" t="s">
        <v>58</v>
      </c>
      <c r="AC25" t="s">
        <v>59</v>
      </c>
      <c r="AD25" t="s">
        <v>60</v>
      </c>
      <c r="AE25" t="s">
        <v>103</v>
      </c>
      <c r="AF25">
        <v>20</v>
      </c>
      <c r="AG25" t="s">
        <v>62</v>
      </c>
      <c r="AH25" t="s">
        <v>63</v>
      </c>
      <c r="AI25" t="s">
        <v>64</v>
      </c>
      <c r="AJ25" t="s">
        <v>65</v>
      </c>
      <c r="AK25" t="s">
        <v>330</v>
      </c>
      <c r="AL25" t="s">
        <v>331</v>
      </c>
      <c r="AM25">
        <v>1000</v>
      </c>
      <c r="AN25" t="s">
        <v>171</v>
      </c>
      <c r="AO25" t="s">
        <v>69</v>
      </c>
      <c r="AP25" t="s">
        <v>70</v>
      </c>
      <c r="AQ25" t="s">
        <v>189</v>
      </c>
      <c r="AR25" t="s">
        <v>72</v>
      </c>
      <c r="AS25" t="s">
        <v>73</v>
      </c>
      <c r="AT25" t="s">
        <v>74</v>
      </c>
      <c r="AU25" t="s">
        <v>75</v>
      </c>
      <c r="AV25" t="s">
        <v>76</v>
      </c>
    </row>
    <row r="26" spans="1:48" x14ac:dyDescent="0.35">
      <c r="A26" t="s">
        <v>332</v>
      </c>
      <c r="B26" t="s">
        <v>49</v>
      </c>
      <c r="C26" t="s">
        <v>333</v>
      </c>
      <c r="D26" t="s">
        <v>332</v>
      </c>
      <c r="E26" t="s">
        <v>334</v>
      </c>
      <c r="F26" t="s">
        <v>49</v>
      </c>
      <c r="G26" t="s">
        <v>335</v>
      </c>
      <c r="H26" t="s">
        <v>336</v>
      </c>
      <c r="I26" t="str">
        <f>HYPERLINK("https://www.ncbi.nlm.nih.gov/gene/1551", "https://www.ncbi.nlm.nih.gov/gene/1551")</f>
        <v>https://www.ncbi.nlm.nih.gov/gene/1551</v>
      </c>
      <c r="J26" t="s">
        <v>337</v>
      </c>
      <c r="K26" t="s">
        <v>55</v>
      </c>
      <c r="L26" t="s">
        <v>49</v>
      </c>
      <c r="M26" t="s">
        <v>56</v>
      </c>
      <c r="N26">
        <v>0.99913499724571142</v>
      </c>
      <c r="O26">
        <v>2.1503103068836795</v>
      </c>
      <c r="P26">
        <v>2.7707062438108978</v>
      </c>
      <c r="Q26">
        <v>22.068635034987871</v>
      </c>
      <c r="R26">
        <v>1.3437754724863089</v>
      </c>
      <c r="S26">
        <v>0.7760874367995394</v>
      </c>
      <c r="T26">
        <v>10.843847969502312</v>
      </c>
      <c r="U26">
        <v>0.6607988910749123</v>
      </c>
      <c r="V26">
        <v>6.4137457493799346</v>
      </c>
      <c r="W26">
        <v>1000</v>
      </c>
      <c r="X26">
        <v>0.25869581226651311</v>
      </c>
      <c r="Y26">
        <v>100</v>
      </c>
      <c r="Z26" t="s">
        <v>57</v>
      </c>
      <c r="AA26" t="s">
        <v>58</v>
      </c>
      <c r="AB26" t="s">
        <v>58</v>
      </c>
      <c r="AC26" t="s">
        <v>59</v>
      </c>
      <c r="AD26" t="s">
        <v>60</v>
      </c>
      <c r="AE26" t="s">
        <v>103</v>
      </c>
      <c r="AF26">
        <v>20</v>
      </c>
      <c r="AG26" t="s">
        <v>62</v>
      </c>
      <c r="AH26" t="s">
        <v>63</v>
      </c>
      <c r="AI26" t="s">
        <v>64</v>
      </c>
      <c r="AJ26" t="s">
        <v>65</v>
      </c>
      <c r="AK26" t="s">
        <v>338</v>
      </c>
      <c r="AL26" t="s">
        <v>339</v>
      </c>
      <c r="AM26">
        <v>1000</v>
      </c>
      <c r="AN26" t="s">
        <v>171</v>
      </c>
      <c r="AO26" t="s">
        <v>69</v>
      </c>
      <c r="AP26" t="s">
        <v>70</v>
      </c>
      <c r="AQ26" t="s">
        <v>189</v>
      </c>
      <c r="AR26" t="s">
        <v>72</v>
      </c>
      <c r="AS26" t="s">
        <v>73</v>
      </c>
      <c r="AT26" t="s">
        <v>74</v>
      </c>
      <c r="AU26" t="s">
        <v>75</v>
      </c>
      <c r="AV26" t="s">
        <v>76</v>
      </c>
    </row>
    <row r="27" spans="1:48" x14ac:dyDescent="0.35">
      <c r="A27" t="s">
        <v>340</v>
      </c>
      <c r="B27" t="s">
        <v>49</v>
      </c>
      <c r="C27" t="s">
        <v>341</v>
      </c>
      <c r="D27" t="s">
        <v>340</v>
      </c>
      <c r="E27" t="s">
        <v>342</v>
      </c>
      <c r="F27" t="s">
        <v>49</v>
      </c>
      <c r="G27" t="s">
        <v>343</v>
      </c>
      <c r="H27" t="s">
        <v>344</v>
      </c>
      <c r="I27" t="str">
        <f>HYPERLINK("https://www.ncbi.nlm.nih.gov/gene/1579", "https://www.ncbi.nlm.nih.gov/gene/1579")</f>
        <v>https://www.ncbi.nlm.nih.gov/gene/1579</v>
      </c>
      <c r="J27" t="s">
        <v>345</v>
      </c>
      <c r="K27" t="s">
        <v>55</v>
      </c>
      <c r="L27" t="s">
        <v>49</v>
      </c>
      <c r="M27" t="s">
        <v>56</v>
      </c>
      <c r="N27">
        <v>0.99999615630337813</v>
      </c>
      <c r="O27">
        <v>2.7581925242852865</v>
      </c>
      <c r="P27">
        <v>4.3149590725554843</v>
      </c>
      <c r="Q27">
        <v>12.842529687321868</v>
      </c>
      <c r="R27">
        <v>1.1086505783305907</v>
      </c>
      <c r="S27">
        <v>0.63921638140863735</v>
      </c>
      <c r="T27">
        <v>4.8847308711858615</v>
      </c>
      <c r="U27">
        <v>1.9521042401328144</v>
      </c>
      <c r="V27">
        <v>14.477262094522047</v>
      </c>
      <c r="W27" t="s">
        <v>49</v>
      </c>
      <c r="X27">
        <v>0.21307212713621246</v>
      </c>
      <c r="Y27">
        <v>31.6227766016838</v>
      </c>
      <c r="Z27" t="s">
        <v>57</v>
      </c>
      <c r="AA27" t="s">
        <v>58</v>
      </c>
      <c r="AB27" t="s">
        <v>58</v>
      </c>
      <c r="AC27" t="s">
        <v>59</v>
      </c>
      <c r="AD27" t="s">
        <v>60</v>
      </c>
      <c r="AE27" t="s">
        <v>61</v>
      </c>
      <c r="AF27">
        <v>20</v>
      </c>
      <c r="AG27" t="s">
        <v>62</v>
      </c>
      <c r="AH27" t="s">
        <v>63</v>
      </c>
      <c r="AI27" t="s">
        <v>64</v>
      </c>
      <c r="AJ27" t="s">
        <v>65</v>
      </c>
      <c r="AK27" t="s">
        <v>346</v>
      </c>
      <c r="AL27" t="s">
        <v>347</v>
      </c>
      <c r="AM27">
        <v>1000</v>
      </c>
      <c r="AN27" t="s">
        <v>171</v>
      </c>
      <c r="AO27" t="s">
        <v>69</v>
      </c>
      <c r="AP27" t="s">
        <v>70</v>
      </c>
      <c r="AQ27" t="s">
        <v>189</v>
      </c>
      <c r="AR27" t="s">
        <v>72</v>
      </c>
      <c r="AS27" t="s">
        <v>73</v>
      </c>
      <c r="AT27" t="s">
        <v>74</v>
      </c>
      <c r="AU27" t="s">
        <v>75</v>
      </c>
      <c r="AV27" t="s">
        <v>76</v>
      </c>
    </row>
    <row r="28" spans="1:48" x14ac:dyDescent="0.35">
      <c r="A28" t="s">
        <v>348</v>
      </c>
      <c r="B28" t="s">
        <v>49</v>
      </c>
      <c r="C28" t="s">
        <v>349</v>
      </c>
      <c r="D28" t="s">
        <v>348</v>
      </c>
      <c r="E28" t="s">
        <v>350</v>
      </c>
      <c r="F28" t="s">
        <v>49</v>
      </c>
      <c r="G28" t="s">
        <v>351</v>
      </c>
      <c r="H28" t="s">
        <v>352</v>
      </c>
      <c r="I28" t="str">
        <f>HYPERLINK("https://www.ncbi.nlm.nih.gov/gene/284541", "https://www.ncbi.nlm.nih.gov/gene/284541")</f>
        <v>https://www.ncbi.nlm.nih.gov/gene/284541</v>
      </c>
      <c r="J28" t="s">
        <v>353</v>
      </c>
      <c r="K28" t="s">
        <v>55</v>
      </c>
      <c r="L28" t="s">
        <v>49</v>
      </c>
      <c r="M28" t="s">
        <v>56</v>
      </c>
      <c r="N28">
        <v>0.99999248759353054</v>
      </c>
      <c r="O28">
        <v>2.2234593875993633</v>
      </c>
      <c r="P28">
        <v>2.7526880624598089</v>
      </c>
      <c r="Q28">
        <v>6.4173074234357745</v>
      </c>
      <c r="R28">
        <v>0.80735284482395275</v>
      </c>
      <c r="S28">
        <v>0.8077411378071202</v>
      </c>
      <c r="T28">
        <v>4.1794118608133148</v>
      </c>
      <c r="U28">
        <v>0.97545057995012097</v>
      </c>
      <c r="V28">
        <v>14.503198969699845</v>
      </c>
      <c r="W28" t="s">
        <v>49</v>
      </c>
      <c r="X28">
        <v>0.26924704593570675</v>
      </c>
      <c r="Y28">
        <v>100</v>
      </c>
      <c r="Z28" t="s">
        <v>57</v>
      </c>
      <c r="AA28" t="s">
        <v>58</v>
      </c>
      <c r="AB28" t="s">
        <v>58</v>
      </c>
      <c r="AC28" t="s">
        <v>59</v>
      </c>
      <c r="AD28" t="s">
        <v>60</v>
      </c>
      <c r="AE28" t="s">
        <v>61</v>
      </c>
      <c r="AF28">
        <v>20</v>
      </c>
      <c r="AG28" t="s">
        <v>62</v>
      </c>
      <c r="AH28" t="s">
        <v>63</v>
      </c>
      <c r="AI28" t="s">
        <v>64</v>
      </c>
      <c r="AJ28" t="s">
        <v>65</v>
      </c>
      <c r="AK28" t="s">
        <v>354</v>
      </c>
      <c r="AL28" t="s">
        <v>355</v>
      </c>
      <c r="AM28">
        <v>1000</v>
      </c>
      <c r="AN28" t="s">
        <v>171</v>
      </c>
      <c r="AO28" t="s">
        <v>69</v>
      </c>
      <c r="AP28" t="s">
        <v>70</v>
      </c>
      <c r="AQ28" t="s">
        <v>189</v>
      </c>
      <c r="AR28" t="s">
        <v>72</v>
      </c>
      <c r="AS28" t="s">
        <v>73</v>
      </c>
      <c r="AT28" t="s">
        <v>74</v>
      </c>
      <c r="AU28" t="s">
        <v>75</v>
      </c>
      <c r="AV28" t="s">
        <v>76</v>
      </c>
    </row>
    <row r="29" spans="1:48" x14ac:dyDescent="0.35">
      <c r="A29" t="s">
        <v>356</v>
      </c>
      <c r="B29" t="s">
        <v>49</v>
      </c>
      <c r="C29" t="s">
        <v>357</v>
      </c>
      <c r="D29" t="s">
        <v>356</v>
      </c>
      <c r="E29" t="s">
        <v>358</v>
      </c>
      <c r="F29" t="s">
        <v>49</v>
      </c>
      <c r="G29" t="s">
        <v>359</v>
      </c>
      <c r="H29" t="s">
        <v>360</v>
      </c>
      <c r="I29" t="str">
        <f>HYPERLINK("https://www.ncbi.nlm.nih.gov/gene/2168", "https://www.ncbi.nlm.nih.gov/gene/2168")</f>
        <v>https://www.ncbi.nlm.nih.gov/gene/2168</v>
      </c>
      <c r="J29" t="s">
        <v>361</v>
      </c>
      <c r="K29" t="s">
        <v>55</v>
      </c>
      <c r="L29" t="s">
        <v>49</v>
      </c>
      <c r="M29" t="s">
        <v>56</v>
      </c>
      <c r="N29">
        <v>0.99999566899752113</v>
      </c>
      <c r="O29">
        <v>2.1768986024684485</v>
      </c>
      <c r="P29">
        <v>4.510827463654957</v>
      </c>
      <c r="Q29">
        <v>11.033488815107715</v>
      </c>
      <c r="R29">
        <v>1.0427128590923893</v>
      </c>
      <c r="S29">
        <v>0.48259407392731174</v>
      </c>
      <c r="T29">
        <v>0.83069134546875789</v>
      </c>
      <c r="U29">
        <v>6.6063404645453558E-2</v>
      </c>
      <c r="V29">
        <v>15.853103613730465</v>
      </c>
      <c r="W29">
        <v>1000</v>
      </c>
      <c r="X29">
        <v>0.16086469130910391</v>
      </c>
      <c r="Y29">
        <v>100</v>
      </c>
      <c r="Z29" t="s">
        <v>57</v>
      </c>
      <c r="AA29" t="s">
        <v>58</v>
      </c>
      <c r="AB29" t="s">
        <v>58</v>
      </c>
      <c r="AC29" t="s">
        <v>59</v>
      </c>
      <c r="AD29" t="s">
        <v>60</v>
      </c>
      <c r="AE29" t="s">
        <v>103</v>
      </c>
      <c r="AF29">
        <v>20</v>
      </c>
      <c r="AG29" t="s">
        <v>62</v>
      </c>
      <c r="AH29" t="s">
        <v>63</v>
      </c>
      <c r="AI29" t="s">
        <v>64</v>
      </c>
      <c r="AJ29" t="s">
        <v>65</v>
      </c>
      <c r="AK29" t="s">
        <v>362</v>
      </c>
      <c r="AL29" t="s">
        <v>363</v>
      </c>
      <c r="AM29">
        <v>1000</v>
      </c>
      <c r="AN29" t="s">
        <v>364</v>
      </c>
      <c r="AO29" t="s">
        <v>69</v>
      </c>
      <c r="AP29" t="s">
        <v>70</v>
      </c>
      <c r="AQ29" t="s">
        <v>365</v>
      </c>
      <c r="AR29" t="s">
        <v>72</v>
      </c>
      <c r="AS29" t="s">
        <v>73</v>
      </c>
      <c r="AT29" t="s">
        <v>74</v>
      </c>
      <c r="AU29" t="s">
        <v>75</v>
      </c>
      <c r="AV29" t="s">
        <v>76</v>
      </c>
    </row>
    <row r="30" spans="1:48" x14ac:dyDescent="0.35">
      <c r="A30" t="s">
        <v>366</v>
      </c>
      <c r="B30" t="s">
        <v>49</v>
      </c>
      <c r="C30" t="s">
        <v>367</v>
      </c>
      <c r="D30" t="s">
        <v>366</v>
      </c>
      <c r="E30" t="s">
        <v>368</v>
      </c>
      <c r="F30" t="s">
        <v>369</v>
      </c>
      <c r="G30" t="s">
        <v>49</v>
      </c>
      <c r="H30" t="s">
        <v>49</v>
      </c>
      <c r="I30" t="s">
        <v>49</v>
      </c>
      <c r="J30" t="s">
        <v>49</v>
      </c>
      <c r="K30" t="s">
        <v>55</v>
      </c>
      <c r="L30" t="s">
        <v>49</v>
      </c>
      <c r="M30" t="s">
        <v>56</v>
      </c>
      <c r="N30">
        <v>0.99883097191971992</v>
      </c>
      <c r="O30">
        <v>54.377022504981284</v>
      </c>
      <c r="P30">
        <v>1.6082203171520275</v>
      </c>
      <c r="Q30">
        <v>8.246880147603644</v>
      </c>
      <c r="R30">
        <v>0.91628968298163338</v>
      </c>
      <c r="S30">
        <v>33.811923605887976</v>
      </c>
      <c r="T30">
        <v>8.7757062252589293</v>
      </c>
      <c r="U30">
        <v>6.2662732675966994</v>
      </c>
      <c r="V30">
        <v>12.884250051259281</v>
      </c>
      <c r="W30">
        <v>7.1252564259149382</v>
      </c>
      <c r="X30">
        <v>5.6353206009813297</v>
      </c>
      <c r="Y30">
        <v>91.981566820276498</v>
      </c>
      <c r="Z30" t="s">
        <v>57</v>
      </c>
      <c r="AA30" t="s">
        <v>114</v>
      </c>
      <c r="AB30" t="s">
        <v>114</v>
      </c>
      <c r="AC30" t="s">
        <v>115</v>
      </c>
      <c r="AD30" t="s">
        <v>370</v>
      </c>
      <c r="AE30" t="s">
        <v>61</v>
      </c>
      <c r="AF30">
        <v>20</v>
      </c>
      <c r="AG30" t="s">
        <v>62</v>
      </c>
      <c r="AH30" t="s">
        <v>63</v>
      </c>
      <c r="AI30" t="s">
        <v>371</v>
      </c>
      <c r="AJ30" t="s">
        <v>65</v>
      </c>
      <c r="AK30" t="s">
        <v>372</v>
      </c>
      <c r="AL30" t="s">
        <v>373</v>
      </c>
      <c r="AM30">
        <v>1000</v>
      </c>
      <c r="AN30" t="s">
        <v>374</v>
      </c>
      <c r="AO30" t="s">
        <v>121</v>
      </c>
      <c r="AP30" t="s">
        <v>122</v>
      </c>
      <c r="AQ30" t="s">
        <v>375</v>
      </c>
      <c r="AR30" t="s">
        <v>72</v>
      </c>
      <c r="AS30" t="s">
        <v>124</v>
      </c>
      <c r="AT30" t="s">
        <v>74</v>
      </c>
      <c r="AU30" t="s">
        <v>126</v>
      </c>
      <c r="AV30" t="s">
        <v>76</v>
      </c>
    </row>
    <row r="31" spans="1:48" x14ac:dyDescent="0.35">
      <c r="A31" t="s">
        <v>376</v>
      </c>
      <c r="B31" t="s">
        <v>377</v>
      </c>
      <c r="C31" t="s">
        <v>378</v>
      </c>
      <c r="D31" t="s">
        <v>376</v>
      </c>
      <c r="E31" t="s">
        <v>379</v>
      </c>
      <c r="F31" t="s">
        <v>380</v>
      </c>
      <c r="G31" t="s">
        <v>49</v>
      </c>
      <c r="H31" t="s">
        <v>381</v>
      </c>
      <c r="I31" t="str">
        <f>HYPERLINK("https://www.ncbi.nlm.nih.gov/gene/100304458", "https://www.ncbi.nlm.nih.gov/gene/100304458")</f>
        <v>https://www.ncbi.nlm.nih.gov/gene/100304458</v>
      </c>
      <c r="J31" t="s">
        <v>382</v>
      </c>
      <c r="K31" t="s">
        <v>55</v>
      </c>
      <c r="L31" t="s">
        <v>49</v>
      </c>
      <c r="M31" t="s">
        <v>56</v>
      </c>
      <c r="N31">
        <v>0.99997662240174556</v>
      </c>
      <c r="O31">
        <v>2.3859867151412901</v>
      </c>
      <c r="P31">
        <v>4.1854839169410889</v>
      </c>
      <c r="Q31">
        <v>75</v>
      </c>
      <c r="R31">
        <v>1.8750612633917001</v>
      </c>
      <c r="S31">
        <v>0.57006233030398556</v>
      </c>
      <c r="T31">
        <v>35.838149895371174</v>
      </c>
      <c r="U31">
        <v>15.000000000000002</v>
      </c>
      <c r="V31">
        <v>1.0580450713273557</v>
      </c>
      <c r="W31">
        <v>66.516196293953499</v>
      </c>
      <c r="X31">
        <v>0.1900207767679952</v>
      </c>
      <c r="Y31">
        <v>150</v>
      </c>
      <c r="Z31" t="s">
        <v>57</v>
      </c>
      <c r="AA31" t="s">
        <v>383</v>
      </c>
      <c r="AB31" t="s">
        <v>383</v>
      </c>
      <c r="AC31" t="s">
        <v>384</v>
      </c>
      <c r="AD31" t="s">
        <v>60</v>
      </c>
      <c r="AE31" t="s">
        <v>61</v>
      </c>
      <c r="AF31">
        <v>20</v>
      </c>
      <c r="AG31" t="s">
        <v>62</v>
      </c>
      <c r="AH31" t="s">
        <v>63</v>
      </c>
      <c r="AI31" t="s">
        <v>371</v>
      </c>
      <c r="AJ31" t="s">
        <v>65</v>
      </c>
      <c r="AK31" t="s">
        <v>385</v>
      </c>
      <c r="AL31" t="s">
        <v>386</v>
      </c>
      <c r="AM31">
        <v>1000</v>
      </c>
      <c r="AN31" t="s">
        <v>155</v>
      </c>
      <c r="AO31" t="s">
        <v>156</v>
      </c>
      <c r="AP31" t="s">
        <v>387</v>
      </c>
      <c r="AQ31" t="s">
        <v>158</v>
      </c>
      <c r="AR31" t="s">
        <v>72</v>
      </c>
      <c r="AS31" t="s">
        <v>388</v>
      </c>
      <c r="AT31" t="s">
        <v>74</v>
      </c>
      <c r="AU31" t="s">
        <v>389</v>
      </c>
      <c r="AV31" t="s">
        <v>76</v>
      </c>
    </row>
    <row r="32" spans="1:48" x14ac:dyDescent="0.35">
      <c r="A32" t="s">
        <v>390</v>
      </c>
      <c r="B32" t="s">
        <v>49</v>
      </c>
      <c r="C32" t="s">
        <v>391</v>
      </c>
      <c r="D32" t="s">
        <v>390</v>
      </c>
      <c r="E32" t="s">
        <v>392</v>
      </c>
      <c r="F32" t="s">
        <v>393</v>
      </c>
      <c r="G32" t="s">
        <v>394</v>
      </c>
      <c r="H32" t="s">
        <v>395</v>
      </c>
      <c r="I32" t="str">
        <f>HYPERLINK("https://www.ncbi.nlm.nih.gov/gene/1543", "https://www.ncbi.nlm.nih.gov/gene/1543")</f>
        <v>https://www.ncbi.nlm.nih.gov/gene/1543</v>
      </c>
      <c r="J32" t="s">
        <v>396</v>
      </c>
      <c r="K32" t="s">
        <v>55</v>
      </c>
      <c r="L32" t="s">
        <v>49</v>
      </c>
      <c r="M32" t="s">
        <v>56</v>
      </c>
      <c r="N32">
        <v>0.96219188170411141</v>
      </c>
      <c r="O32">
        <v>1.7740062999688133</v>
      </c>
      <c r="P32">
        <v>1.7740062999688133</v>
      </c>
      <c r="Q32">
        <v>7.7647340310363855E-2</v>
      </c>
      <c r="R32">
        <v>-1.1098734157669128</v>
      </c>
      <c r="S32">
        <v>1</v>
      </c>
      <c r="T32">
        <v>9.8997185899814558E-2</v>
      </c>
      <c r="U32">
        <v>6.9048487089671548E-3</v>
      </c>
      <c r="V32">
        <v>1.0917596351336099</v>
      </c>
      <c r="W32">
        <v>0.12004201365699313</v>
      </c>
      <c r="X32">
        <v>0.61533459643080801</v>
      </c>
      <c r="Y32">
        <v>0.4</v>
      </c>
      <c r="Z32" t="s">
        <v>57</v>
      </c>
      <c r="AA32" t="s">
        <v>397</v>
      </c>
      <c r="AB32" t="s">
        <v>397</v>
      </c>
      <c r="AC32" t="s">
        <v>398</v>
      </c>
      <c r="AD32" t="s">
        <v>60</v>
      </c>
      <c r="AE32" t="s">
        <v>399</v>
      </c>
      <c r="AF32">
        <v>20</v>
      </c>
      <c r="AG32" t="s">
        <v>62</v>
      </c>
      <c r="AH32" t="s">
        <v>63</v>
      </c>
      <c r="AI32" t="s">
        <v>400</v>
      </c>
      <c r="AJ32" t="s">
        <v>401</v>
      </c>
      <c r="AK32" t="s">
        <v>402</v>
      </c>
      <c r="AL32" t="s">
        <v>403</v>
      </c>
      <c r="AM32">
        <v>1000</v>
      </c>
      <c r="AN32" t="s">
        <v>171</v>
      </c>
      <c r="AO32" t="s">
        <v>69</v>
      </c>
      <c r="AP32" t="s">
        <v>70</v>
      </c>
      <c r="AQ32" t="s">
        <v>189</v>
      </c>
      <c r="AR32" t="s">
        <v>49</v>
      </c>
      <c r="AS32" t="s">
        <v>404</v>
      </c>
      <c r="AT32" t="s">
        <v>74</v>
      </c>
      <c r="AU32" t="s">
        <v>405</v>
      </c>
      <c r="AV32" t="s">
        <v>76</v>
      </c>
    </row>
    <row r="33" spans="1:48" x14ac:dyDescent="0.35">
      <c r="A33" t="s">
        <v>406</v>
      </c>
      <c r="B33" t="s">
        <v>377</v>
      </c>
      <c r="C33" t="s">
        <v>407</v>
      </c>
      <c r="D33" t="s">
        <v>406</v>
      </c>
      <c r="E33" t="s">
        <v>408</v>
      </c>
      <c r="F33" t="s">
        <v>409</v>
      </c>
      <c r="G33" t="s">
        <v>49</v>
      </c>
      <c r="H33" t="s">
        <v>410</v>
      </c>
      <c r="I33" t="str">
        <f>HYPERLINK("https://www.ncbi.nlm.nih.gov/gene/101933533", "https://www.ncbi.nlm.nih.gov/gene/101933533")</f>
        <v>https://www.ncbi.nlm.nih.gov/gene/101933533</v>
      </c>
      <c r="J33" t="s">
        <v>411</v>
      </c>
      <c r="K33" t="s">
        <v>55</v>
      </c>
      <c r="L33" t="s">
        <v>49</v>
      </c>
      <c r="M33" t="s">
        <v>56</v>
      </c>
      <c r="N33">
        <v>0.99999975287162557</v>
      </c>
      <c r="O33">
        <v>2.103098986928762</v>
      </c>
      <c r="P33">
        <v>2.3373554253534969</v>
      </c>
      <c r="Q33">
        <v>35.50089813354073</v>
      </c>
      <c r="R33">
        <v>1.5502393403651431</v>
      </c>
      <c r="S33">
        <v>0.89977714305503764</v>
      </c>
      <c r="T33">
        <v>29.701603473968643</v>
      </c>
      <c r="U33">
        <v>6.3723825160208225</v>
      </c>
      <c r="V33">
        <v>0.74401516330387396</v>
      </c>
      <c r="W33">
        <v>24.037970099865223</v>
      </c>
      <c r="X33">
        <v>0.2999257143516792</v>
      </c>
      <c r="Y33">
        <v>200</v>
      </c>
      <c r="Z33" t="s">
        <v>57</v>
      </c>
      <c r="AA33" t="s">
        <v>383</v>
      </c>
      <c r="AB33" t="s">
        <v>383</v>
      </c>
      <c r="AC33" t="s">
        <v>384</v>
      </c>
      <c r="AD33" t="s">
        <v>60</v>
      </c>
      <c r="AE33" t="s">
        <v>198</v>
      </c>
      <c r="AF33">
        <v>20</v>
      </c>
      <c r="AG33" t="s">
        <v>62</v>
      </c>
      <c r="AH33" t="s">
        <v>63</v>
      </c>
      <c r="AI33" t="s">
        <v>371</v>
      </c>
      <c r="AJ33" t="s">
        <v>65</v>
      </c>
      <c r="AK33" t="s">
        <v>412</v>
      </c>
      <c r="AL33" t="s">
        <v>413</v>
      </c>
      <c r="AM33">
        <v>1000</v>
      </c>
      <c r="AN33" t="s">
        <v>155</v>
      </c>
      <c r="AO33" t="s">
        <v>156</v>
      </c>
      <c r="AP33" t="s">
        <v>387</v>
      </c>
      <c r="AQ33" t="s">
        <v>414</v>
      </c>
      <c r="AR33" t="s">
        <v>72</v>
      </c>
      <c r="AS33" t="s">
        <v>388</v>
      </c>
      <c r="AT33" t="s">
        <v>74</v>
      </c>
      <c r="AU33" t="s">
        <v>415</v>
      </c>
      <c r="AV33" t="s">
        <v>76</v>
      </c>
    </row>
    <row r="34" spans="1:48" x14ac:dyDescent="0.35">
      <c r="A34" t="s">
        <v>416</v>
      </c>
      <c r="B34" t="s">
        <v>377</v>
      </c>
      <c r="C34" t="s">
        <v>417</v>
      </c>
      <c r="D34" t="s">
        <v>416</v>
      </c>
      <c r="E34" t="s">
        <v>418</v>
      </c>
      <c r="F34" t="s">
        <v>419</v>
      </c>
      <c r="G34" t="s">
        <v>49</v>
      </c>
      <c r="H34" t="s">
        <v>381</v>
      </c>
      <c r="I34" t="str">
        <f>HYPERLINK("https://www.ncbi.nlm.nih.gov/gene/563298", "https://www.ncbi.nlm.nih.gov/gene/563298")</f>
        <v>https://www.ncbi.nlm.nih.gov/gene/563298</v>
      </c>
      <c r="J34" t="s">
        <v>420</v>
      </c>
      <c r="K34" t="s">
        <v>55</v>
      </c>
      <c r="L34" t="s">
        <v>49</v>
      </c>
      <c r="M34" t="s">
        <v>56</v>
      </c>
      <c r="N34">
        <v>0.99991324336364007</v>
      </c>
      <c r="O34">
        <v>2.0193174905139859</v>
      </c>
      <c r="P34">
        <v>3.2757604728459664</v>
      </c>
      <c r="Q34">
        <v>52.705824638365598</v>
      </c>
      <c r="R34">
        <v>1.7218586127176658</v>
      </c>
      <c r="S34">
        <v>0.61644235201348885</v>
      </c>
      <c r="T34">
        <v>48.625216789064545</v>
      </c>
      <c r="U34">
        <v>41.628893644370457</v>
      </c>
      <c r="V34">
        <v>1.325471233932296</v>
      </c>
      <c r="W34">
        <v>55.639743480740876</v>
      </c>
      <c r="X34">
        <v>0.20548078400449629</v>
      </c>
      <c r="Y34">
        <v>150</v>
      </c>
      <c r="Z34" t="s">
        <v>57</v>
      </c>
      <c r="AA34" t="s">
        <v>383</v>
      </c>
      <c r="AB34" t="s">
        <v>383</v>
      </c>
      <c r="AC34" t="s">
        <v>384</v>
      </c>
      <c r="AD34" t="s">
        <v>60</v>
      </c>
      <c r="AE34" t="s">
        <v>103</v>
      </c>
      <c r="AF34">
        <v>20</v>
      </c>
      <c r="AG34" t="s">
        <v>62</v>
      </c>
      <c r="AH34" t="s">
        <v>63</v>
      </c>
      <c r="AI34" t="s">
        <v>371</v>
      </c>
      <c r="AJ34" t="s">
        <v>65</v>
      </c>
      <c r="AK34" t="s">
        <v>421</v>
      </c>
      <c r="AL34" t="s">
        <v>422</v>
      </c>
      <c r="AM34">
        <v>1000</v>
      </c>
      <c r="AN34" t="s">
        <v>155</v>
      </c>
      <c r="AO34" t="s">
        <v>156</v>
      </c>
      <c r="AP34" t="s">
        <v>387</v>
      </c>
      <c r="AQ34" t="s">
        <v>158</v>
      </c>
      <c r="AR34" t="s">
        <v>72</v>
      </c>
      <c r="AS34" t="s">
        <v>388</v>
      </c>
      <c r="AT34" t="s">
        <v>74</v>
      </c>
      <c r="AU34" t="s">
        <v>389</v>
      </c>
      <c r="AV34" t="s">
        <v>76</v>
      </c>
    </row>
    <row r="35" spans="1:48" x14ac:dyDescent="0.35">
      <c r="A35" t="s">
        <v>423</v>
      </c>
      <c r="B35" t="s">
        <v>49</v>
      </c>
      <c r="C35" t="s">
        <v>424</v>
      </c>
      <c r="D35" t="s">
        <v>423</v>
      </c>
      <c r="E35" t="s">
        <v>425</v>
      </c>
      <c r="F35" t="s">
        <v>426</v>
      </c>
      <c r="G35" t="s">
        <v>427</v>
      </c>
      <c r="H35" t="s">
        <v>428</v>
      </c>
      <c r="I35" t="str">
        <f>HYPERLINK("https://www.ncbi.nlm.nih.gov/gene/4312", "https://www.ncbi.nlm.nih.gov/gene/4312")</f>
        <v>https://www.ncbi.nlm.nih.gov/gene/4312</v>
      </c>
      <c r="J35" t="s">
        <v>429</v>
      </c>
      <c r="K35" t="s">
        <v>55</v>
      </c>
      <c r="L35" t="s">
        <v>49</v>
      </c>
      <c r="M35" t="s">
        <v>56</v>
      </c>
      <c r="N35">
        <v>0.94404105875858102</v>
      </c>
      <c r="O35">
        <v>0.19372845920054257</v>
      </c>
      <c r="P35">
        <v>2.105358586941982</v>
      </c>
      <c r="Q35">
        <v>30</v>
      </c>
      <c r="R35">
        <v>1.4771212547196624</v>
      </c>
      <c r="S35">
        <v>9.2016847107233998E-2</v>
      </c>
      <c r="T35">
        <v>28.498708187829212</v>
      </c>
      <c r="U35">
        <v>6.0000000000000009</v>
      </c>
      <c r="V35">
        <v>8.8985722294882219E-2</v>
      </c>
      <c r="W35">
        <v>27.559932906739292</v>
      </c>
      <c r="X35">
        <v>3.0672282369077999E-2</v>
      </c>
      <c r="Y35">
        <v>60</v>
      </c>
      <c r="Z35" t="s">
        <v>57</v>
      </c>
      <c r="AA35" t="s">
        <v>430</v>
      </c>
      <c r="AB35" t="s">
        <v>430</v>
      </c>
      <c r="AC35" t="s">
        <v>431</v>
      </c>
      <c r="AD35" t="s">
        <v>432</v>
      </c>
      <c r="AE35" t="s">
        <v>433</v>
      </c>
      <c r="AF35">
        <v>20</v>
      </c>
      <c r="AG35" t="s">
        <v>62</v>
      </c>
      <c r="AH35" t="s">
        <v>63</v>
      </c>
      <c r="AI35" t="s">
        <v>434</v>
      </c>
      <c r="AJ35" t="s">
        <v>401</v>
      </c>
      <c r="AK35" t="s">
        <v>435</v>
      </c>
      <c r="AL35" t="s">
        <v>436</v>
      </c>
      <c r="AM35">
        <v>1000</v>
      </c>
      <c r="AN35" t="s">
        <v>201</v>
      </c>
      <c r="AO35" t="s">
        <v>156</v>
      </c>
      <c r="AP35" t="s">
        <v>172</v>
      </c>
      <c r="AQ35" t="s">
        <v>437</v>
      </c>
      <c r="AR35" t="s">
        <v>438</v>
      </c>
      <c r="AS35" t="s">
        <v>439</v>
      </c>
      <c r="AT35" t="s">
        <v>440</v>
      </c>
      <c r="AU35" t="s">
        <v>441</v>
      </c>
      <c r="AV35" t="s">
        <v>76</v>
      </c>
    </row>
    <row r="36" spans="1:48" x14ac:dyDescent="0.35">
      <c r="A36" t="s">
        <v>442</v>
      </c>
      <c r="B36" t="s">
        <v>49</v>
      </c>
      <c r="C36" t="s">
        <v>443</v>
      </c>
      <c r="D36" t="s">
        <v>442</v>
      </c>
      <c r="E36" t="s">
        <v>444</v>
      </c>
      <c r="F36" t="s">
        <v>445</v>
      </c>
      <c r="G36" t="s">
        <v>144</v>
      </c>
      <c r="H36" t="s">
        <v>446</v>
      </c>
      <c r="I36" t="s">
        <v>447</v>
      </c>
      <c r="J36" t="s">
        <v>448</v>
      </c>
      <c r="K36" t="s">
        <v>55</v>
      </c>
      <c r="L36" t="s">
        <v>49</v>
      </c>
      <c r="M36" t="s">
        <v>56</v>
      </c>
      <c r="N36">
        <v>0.99998344218987589</v>
      </c>
      <c r="O36">
        <v>2.1391616618670022</v>
      </c>
      <c r="P36">
        <v>2.3767286975030855</v>
      </c>
      <c r="Q36">
        <v>85.853138482853851</v>
      </c>
      <c r="R36">
        <v>1.9337561760359103</v>
      </c>
      <c r="S36">
        <v>0.9000445293206315</v>
      </c>
      <c r="T36">
        <v>62.873935328560776</v>
      </c>
      <c r="U36">
        <v>4.7000397837303183</v>
      </c>
      <c r="V36">
        <v>0.31977102392039608</v>
      </c>
      <c r="W36">
        <v>9.7106847772244844</v>
      </c>
      <c r="X36">
        <v>0.1800089058641263</v>
      </c>
      <c r="Y36">
        <v>300</v>
      </c>
      <c r="Z36" t="s">
        <v>57</v>
      </c>
      <c r="AA36" t="s">
        <v>383</v>
      </c>
      <c r="AB36" t="s">
        <v>383</v>
      </c>
      <c r="AC36" t="s">
        <v>384</v>
      </c>
      <c r="AD36" t="s">
        <v>60</v>
      </c>
      <c r="AE36" t="s">
        <v>61</v>
      </c>
      <c r="AF36">
        <v>20</v>
      </c>
      <c r="AG36" t="s">
        <v>62</v>
      </c>
      <c r="AH36" t="s">
        <v>63</v>
      </c>
      <c r="AI36" t="s">
        <v>371</v>
      </c>
      <c r="AJ36" t="s">
        <v>65</v>
      </c>
      <c r="AK36" t="s">
        <v>449</v>
      </c>
      <c r="AL36" t="s">
        <v>450</v>
      </c>
      <c r="AM36">
        <v>1000</v>
      </c>
      <c r="AN36" t="s">
        <v>155</v>
      </c>
      <c r="AO36" t="s">
        <v>156</v>
      </c>
      <c r="AP36" t="s">
        <v>387</v>
      </c>
      <c r="AQ36" t="s">
        <v>158</v>
      </c>
      <c r="AR36" t="s">
        <v>72</v>
      </c>
      <c r="AS36" t="s">
        <v>388</v>
      </c>
      <c r="AT36" t="s">
        <v>74</v>
      </c>
      <c r="AU36">
        <v>1475794</v>
      </c>
      <c r="AV36" t="s">
        <v>76</v>
      </c>
    </row>
    <row r="37" spans="1:48" x14ac:dyDescent="0.35">
      <c r="A37" t="s">
        <v>451</v>
      </c>
      <c r="B37" t="s">
        <v>128</v>
      </c>
      <c r="C37" t="s">
        <v>452</v>
      </c>
      <c r="D37" t="s">
        <v>451</v>
      </c>
      <c r="E37" t="s">
        <v>453</v>
      </c>
      <c r="F37" t="s">
        <v>454</v>
      </c>
      <c r="G37" t="s">
        <v>49</v>
      </c>
      <c r="H37" t="s">
        <v>49</v>
      </c>
      <c r="I37" t="s">
        <v>49</v>
      </c>
      <c r="J37" t="s">
        <v>49</v>
      </c>
      <c r="K37">
        <v>263</v>
      </c>
      <c r="L37">
        <v>1771</v>
      </c>
      <c r="M37" t="s">
        <v>56</v>
      </c>
      <c r="N37">
        <v>0.99999718538881022</v>
      </c>
      <c r="O37">
        <v>-41.218708920543385</v>
      </c>
      <c r="P37">
        <v>-2.0057981881280322</v>
      </c>
      <c r="Q37">
        <v>21.097656869643686</v>
      </c>
      <c r="R37">
        <v>1.3242342247246863</v>
      </c>
      <c r="S37">
        <v>20.549778718771258</v>
      </c>
      <c r="T37">
        <v>21.051050346971188</v>
      </c>
      <c r="U37">
        <v>9.103649632365471</v>
      </c>
      <c r="V37">
        <v>7.0261321546232871</v>
      </c>
      <c r="W37">
        <v>11.517526404776518</v>
      </c>
      <c r="X37">
        <v>3.4249631197952097</v>
      </c>
      <c r="Y37">
        <v>5.8868202764976998E-3</v>
      </c>
      <c r="Z37" t="s">
        <v>57</v>
      </c>
      <c r="AA37" t="s">
        <v>114</v>
      </c>
      <c r="AB37" t="s">
        <v>114</v>
      </c>
      <c r="AC37" t="s">
        <v>115</v>
      </c>
      <c r="AD37" t="s">
        <v>131</v>
      </c>
      <c r="AE37" t="s">
        <v>117</v>
      </c>
      <c r="AF37">
        <v>20</v>
      </c>
      <c r="AG37" t="s">
        <v>62</v>
      </c>
      <c r="AH37" t="s">
        <v>63</v>
      </c>
      <c r="AI37" t="s">
        <v>118</v>
      </c>
      <c r="AJ37" t="s">
        <v>65</v>
      </c>
      <c r="AK37" t="s">
        <v>455</v>
      </c>
      <c r="AL37" t="s">
        <v>456</v>
      </c>
      <c r="AM37">
        <v>1000</v>
      </c>
      <c r="AN37" t="s">
        <v>135</v>
      </c>
      <c r="AO37" t="s">
        <v>136</v>
      </c>
      <c r="AP37" t="s">
        <v>136</v>
      </c>
      <c r="AQ37" t="s">
        <v>137</v>
      </c>
      <c r="AR37" t="s">
        <v>138</v>
      </c>
      <c r="AS37" t="s">
        <v>139</v>
      </c>
      <c r="AT37" t="s">
        <v>125</v>
      </c>
      <c r="AU37" t="s">
        <v>126</v>
      </c>
      <c r="AV37" t="s">
        <v>76</v>
      </c>
    </row>
    <row r="38" spans="1:48" x14ac:dyDescent="0.35">
      <c r="A38" t="s">
        <v>457</v>
      </c>
      <c r="B38" t="s">
        <v>49</v>
      </c>
      <c r="C38" t="s">
        <v>458</v>
      </c>
      <c r="D38" t="s">
        <v>457</v>
      </c>
      <c r="E38" t="s">
        <v>459</v>
      </c>
      <c r="F38" t="s">
        <v>460</v>
      </c>
      <c r="G38" t="s">
        <v>461</v>
      </c>
      <c r="H38" t="s">
        <v>462</v>
      </c>
      <c r="I38" t="s">
        <v>463</v>
      </c>
      <c r="J38" t="s">
        <v>464</v>
      </c>
      <c r="K38" t="s">
        <v>55</v>
      </c>
      <c r="L38" t="s">
        <v>49</v>
      </c>
      <c r="M38" t="s">
        <v>56</v>
      </c>
      <c r="N38">
        <v>0.99607473874310803</v>
      </c>
      <c r="O38">
        <v>1.1419110995518575</v>
      </c>
      <c r="P38">
        <v>1.8915709271939358</v>
      </c>
      <c r="Q38">
        <v>150</v>
      </c>
      <c r="R38">
        <v>2.1760912590556813</v>
      </c>
      <c r="S38">
        <v>0.60368399785348448</v>
      </c>
      <c r="T38">
        <v>158.59833521814437</v>
      </c>
      <c r="U38">
        <v>30</v>
      </c>
      <c r="V38">
        <v>0.21071794693153204</v>
      </c>
      <c r="W38">
        <v>55.359286816870821</v>
      </c>
      <c r="X38">
        <v>0.12073679957069688</v>
      </c>
      <c r="Y38">
        <v>300</v>
      </c>
      <c r="Z38" t="s">
        <v>57</v>
      </c>
      <c r="AA38" t="s">
        <v>383</v>
      </c>
      <c r="AB38" t="s">
        <v>383</v>
      </c>
      <c r="AC38" t="s">
        <v>384</v>
      </c>
      <c r="AD38" t="s">
        <v>60</v>
      </c>
      <c r="AE38" t="s">
        <v>61</v>
      </c>
      <c r="AF38">
        <v>20</v>
      </c>
      <c r="AG38" t="s">
        <v>62</v>
      </c>
      <c r="AH38" t="s">
        <v>63</v>
      </c>
      <c r="AI38" t="s">
        <v>371</v>
      </c>
      <c r="AJ38" t="s">
        <v>65</v>
      </c>
      <c r="AK38" t="s">
        <v>465</v>
      </c>
      <c r="AL38" t="s">
        <v>466</v>
      </c>
      <c r="AM38">
        <v>1000</v>
      </c>
      <c r="AN38" t="s">
        <v>106</v>
      </c>
      <c r="AO38" t="s">
        <v>156</v>
      </c>
      <c r="AP38" t="s">
        <v>387</v>
      </c>
      <c r="AQ38" t="s">
        <v>107</v>
      </c>
      <c r="AR38" t="s">
        <v>72</v>
      </c>
      <c r="AS38" t="s">
        <v>388</v>
      </c>
      <c r="AT38" t="s">
        <v>74</v>
      </c>
      <c r="AU38">
        <v>1475794</v>
      </c>
      <c r="AV38" t="s">
        <v>76</v>
      </c>
    </row>
    <row r="39" spans="1:48" x14ac:dyDescent="0.35">
      <c r="A39" t="s">
        <v>467</v>
      </c>
      <c r="B39" t="s">
        <v>49</v>
      </c>
      <c r="C39" t="s">
        <v>468</v>
      </c>
      <c r="D39" t="s">
        <v>467</v>
      </c>
      <c r="E39" t="s">
        <v>469</v>
      </c>
      <c r="F39" t="s">
        <v>470</v>
      </c>
      <c r="G39" t="s">
        <v>282</v>
      </c>
      <c r="H39" t="s">
        <v>283</v>
      </c>
      <c r="I39" t="str">
        <f>HYPERLINK("https://www.ncbi.nlm.nih.gov/gene/5468", "https://www.ncbi.nlm.nih.gov/gene/5468")</f>
        <v>https://www.ncbi.nlm.nih.gov/gene/5468</v>
      </c>
      <c r="J39" t="s">
        <v>284</v>
      </c>
      <c r="K39" t="s">
        <v>55</v>
      </c>
      <c r="L39" t="s">
        <v>49</v>
      </c>
      <c r="M39" t="s">
        <v>56</v>
      </c>
      <c r="N39">
        <v>0.99998892759383717</v>
      </c>
      <c r="O39">
        <v>3.9059919304669588</v>
      </c>
      <c r="P39">
        <v>6.3266766020602674</v>
      </c>
      <c r="Q39">
        <v>34.542345738390125</v>
      </c>
      <c r="R39">
        <v>1.5383518267649419</v>
      </c>
      <c r="S39">
        <v>0.61738447784654926</v>
      </c>
      <c r="T39">
        <v>9.9514547174316217</v>
      </c>
      <c r="U39">
        <v>6.2122137671987314</v>
      </c>
      <c r="V39">
        <v>0.50894373320554387</v>
      </c>
      <c r="W39">
        <v>8.1506073333468549</v>
      </c>
      <c r="X39">
        <v>0.20579482594884976</v>
      </c>
      <c r="Y39">
        <v>200</v>
      </c>
      <c r="Z39" t="s">
        <v>57</v>
      </c>
      <c r="AA39" t="s">
        <v>383</v>
      </c>
      <c r="AB39" t="s">
        <v>383</v>
      </c>
      <c r="AC39" t="s">
        <v>384</v>
      </c>
      <c r="AD39" t="s">
        <v>60</v>
      </c>
      <c r="AE39" t="s">
        <v>198</v>
      </c>
      <c r="AF39">
        <v>20</v>
      </c>
      <c r="AG39" t="s">
        <v>62</v>
      </c>
      <c r="AH39" t="s">
        <v>63</v>
      </c>
      <c r="AI39" t="s">
        <v>371</v>
      </c>
      <c r="AJ39" t="s">
        <v>65</v>
      </c>
      <c r="AK39" t="s">
        <v>471</v>
      </c>
      <c r="AL39" t="s">
        <v>472</v>
      </c>
      <c r="AM39">
        <v>1000</v>
      </c>
      <c r="AN39" t="s">
        <v>155</v>
      </c>
      <c r="AO39" t="s">
        <v>156</v>
      </c>
      <c r="AP39" t="s">
        <v>387</v>
      </c>
      <c r="AQ39" t="s">
        <v>158</v>
      </c>
      <c r="AR39" t="s">
        <v>72</v>
      </c>
      <c r="AS39" t="s">
        <v>388</v>
      </c>
      <c r="AT39" t="s">
        <v>74</v>
      </c>
      <c r="AU39" t="s">
        <v>415</v>
      </c>
      <c r="AV39" t="s">
        <v>76</v>
      </c>
    </row>
    <row r="40" spans="1:48" x14ac:dyDescent="0.35">
      <c r="A40" t="s">
        <v>473</v>
      </c>
      <c r="B40" t="s">
        <v>49</v>
      </c>
      <c r="C40" t="s">
        <v>474</v>
      </c>
      <c r="D40" t="s">
        <v>473</v>
      </c>
      <c r="E40" t="s">
        <v>475</v>
      </c>
      <c r="F40" t="s">
        <v>476</v>
      </c>
      <c r="G40" t="s">
        <v>282</v>
      </c>
      <c r="H40" t="s">
        <v>283</v>
      </c>
      <c r="I40" t="str">
        <f>HYPERLINK("https://www.ncbi.nlm.nih.gov/gene/5468", "https://www.ncbi.nlm.nih.gov/gene/5468")</f>
        <v>https://www.ncbi.nlm.nih.gov/gene/5468</v>
      </c>
      <c r="J40" t="s">
        <v>284</v>
      </c>
      <c r="K40" t="s">
        <v>55</v>
      </c>
      <c r="L40" t="s">
        <v>49</v>
      </c>
      <c r="M40" t="s">
        <v>56</v>
      </c>
      <c r="N40">
        <v>0.99999999601478651</v>
      </c>
      <c r="O40">
        <v>4.2819209164934255</v>
      </c>
      <c r="P40">
        <v>4.9297135368457035</v>
      </c>
      <c r="Q40">
        <v>49.445185892320382</v>
      </c>
      <c r="R40">
        <v>1.6941240139882616</v>
      </c>
      <c r="S40">
        <v>0.86859426708863685</v>
      </c>
      <c r="T40">
        <v>18.135990506416451</v>
      </c>
      <c r="U40">
        <v>8.6890567603453874</v>
      </c>
      <c r="V40">
        <v>1.5179032975160434</v>
      </c>
      <c r="W40">
        <v>33.229930649266151</v>
      </c>
      <c r="X40">
        <v>0.28953142236287893</v>
      </c>
      <c r="Y40">
        <v>150</v>
      </c>
      <c r="Z40" t="s">
        <v>57</v>
      </c>
      <c r="AA40" t="s">
        <v>383</v>
      </c>
      <c r="AB40" t="s">
        <v>383</v>
      </c>
      <c r="AC40" t="s">
        <v>384</v>
      </c>
      <c r="AD40" t="s">
        <v>60</v>
      </c>
      <c r="AE40" t="s">
        <v>61</v>
      </c>
      <c r="AF40">
        <v>20</v>
      </c>
      <c r="AG40" t="s">
        <v>62</v>
      </c>
      <c r="AH40" t="s">
        <v>63</v>
      </c>
      <c r="AI40" t="s">
        <v>371</v>
      </c>
      <c r="AJ40" t="s">
        <v>65</v>
      </c>
      <c r="AK40" t="s">
        <v>477</v>
      </c>
      <c r="AL40" t="s">
        <v>478</v>
      </c>
      <c r="AM40">
        <v>1000</v>
      </c>
      <c r="AN40" t="s">
        <v>155</v>
      </c>
      <c r="AO40" t="s">
        <v>156</v>
      </c>
      <c r="AP40" t="s">
        <v>387</v>
      </c>
      <c r="AQ40" t="s">
        <v>158</v>
      </c>
      <c r="AR40" t="s">
        <v>72</v>
      </c>
      <c r="AS40" t="s">
        <v>388</v>
      </c>
      <c r="AT40" t="s">
        <v>74</v>
      </c>
      <c r="AU40" t="s">
        <v>389</v>
      </c>
      <c r="AV40" t="s">
        <v>76</v>
      </c>
    </row>
    <row r="41" spans="1:48" x14ac:dyDescent="0.35">
      <c r="A41" t="s">
        <v>479</v>
      </c>
      <c r="B41" t="s">
        <v>480</v>
      </c>
      <c r="C41" t="s">
        <v>481</v>
      </c>
      <c r="D41" t="s">
        <v>479</v>
      </c>
      <c r="E41" t="s">
        <v>482</v>
      </c>
      <c r="F41" t="s">
        <v>483</v>
      </c>
      <c r="G41" t="s">
        <v>49</v>
      </c>
      <c r="H41" t="s">
        <v>484</v>
      </c>
      <c r="I41" t="str">
        <f>HYPERLINK("https://www.ncbi.nlm.nih.gov/gene/3586", "https://www.ncbi.nlm.nih.gov/gene/3586")</f>
        <v>https://www.ncbi.nlm.nih.gov/gene/3586</v>
      </c>
      <c r="J41" t="s">
        <v>485</v>
      </c>
      <c r="K41" t="s">
        <v>55</v>
      </c>
      <c r="L41" t="s">
        <v>49</v>
      </c>
      <c r="M41" t="s">
        <v>56</v>
      </c>
      <c r="N41">
        <v>0.98240023858548353</v>
      </c>
      <c r="O41">
        <v>-0.25518149907730248</v>
      </c>
      <c r="P41">
        <v>-1.4348161083732136</v>
      </c>
      <c r="Q41">
        <v>30</v>
      </c>
      <c r="R41">
        <v>1.4771212547196624</v>
      </c>
      <c r="S41">
        <v>0.17784961960499998</v>
      </c>
      <c r="T41">
        <v>41.817205459191321</v>
      </c>
      <c r="U41">
        <v>6</v>
      </c>
      <c r="V41">
        <v>0.1098392855079352</v>
      </c>
      <c r="W41">
        <v>25.826155713897133</v>
      </c>
      <c r="X41">
        <v>5.9283206534999994E-2</v>
      </c>
      <c r="Y41">
        <v>2.2000000000000002</v>
      </c>
      <c r="Z41" t="s">
        <v>57</v>
      </c>
      <c r="AA41" t="s">
        <v>430</v>
      </c>
      <c r="AB41" t="s">
        <v>430</v>
      </c>
      <c r="AC41" t="s">
        <v>431</v>
      </c>
      <c r="AD41" t="s">
        <v>432</v>
      </c>
      <c r="AE41" t="s">
        <v>433</v>
      </c>
      <c r="AF41">
        <v>20</v>
      </c>
      <c r="AG41" t="s">
        <v>62</v>
      </c>
      <c r="AH41" t="s">
        <v>63</v>
      </c>
      <c r="AI41" t="s">
        <v>486</v>
      </c>
      <c r="AJ41" t="s">
        <v>401</v>
      </c>
      <c r="AK41" t="s">
        <v>487</v>
      </c>
      <c r="AL41" t="s">
        <v>488</v>
      </c>
      <c r="AM41">
        <v>1000</v>
      </c>
      <c r="AN41" t="s">
        <v>489</v>
      </c>
      <c r="AO41" t="s">
        <v>156</v>
      </c>
      <c r="AP41" t="s">
        <v>172</v>
      </c>
      <c r="AQ41" t="s">
        <v>490</v>
      </c>
      <c r="AR41" t="s">
        <v>438</v>
      </c>
      <c r="AS41" t="s">
        <v>439</v>
      </c>
      <c r="AT41" t="s">
        <v>491</v>
      </c>
      <c r="AU41" t="s">
        <v>441</v>
      </c>
      <c r="AV41" t="s">
        <v>76</v>
      </c>
    </row>
    <row r="42" spans="1:48" x14ac:dyDescent="0.35">
      <c r="A42" t="s">
        <v>492</v>
      </c>
      <c r="B42" t="s">
        <v>493</v>
      </c>
      <c r="C42" t="s">
        <v>494</v>
      </c>
      <c r="D42" t="s">
        <v>492</v>
      </c>
      <c r="E42" t="s">
        <v>495</v>
      </c>
      <c r="F42" t="s">
        <v>496</v>
      </c>
      <c r="G42" t="s">
        <v>49</v>
      </c>
      <c r="H42" t="s">
        <v>49</v>
      </c>
      <c r="I42" t="s">
        <v>49</v>
      </c>
      <c r="J42" t="s">
        <v>49</v>
      </c>
      <c r="K42" t="s">
        <v>55</v>
      </c>
      <c r="L42" t="s">
        <v>49</v>
      </c>
      <c r="M42" t="s">
        <v>56</v>
      </c>
      <c r="N42">
        <v>0.99907541019617196</v>
      </c>
      <c r="O42">
        <v>-54.209629335553167</v>
      </c>
      <c r="P42">
        <v>-3.9399667679971837</v>
      </c>
      <c r="Q42">
        <v>768.25729093635209</v>
      </c>
      <c r="R42">
        <v>2.8855066905013422</v>
      </c>
      <c r="S42">
        <v>13.758905221200566</v>
      </c>
      <c r="T42">
        <v>611.69639842938193</v>
      </c>
      <c r="U42">
        <v>475.80321356803853</v>
      </c>
      <c r="V42">
        <v>7.8117272444872219</v>
      </c>
      <c r="W42">
        <v>520.17434455101306</v>
      </c>
      <c r="X42">
        <v>3.4397263053001415</v>
      </c>
      <c r="Y42">
        <v>4.1152263374485587</v>
      </c>
      <c r="Z42" t="s">
        <v>57</v>
      </c>
      <c r="AA42" t="s">
        <v>497</v>
      </c>
      <c r="AB42" t="s">
        <v>497</v>
      </c>
      <c r="AC42" t="s">
        <v>498</v>
      </c>
      <c r="AD42" t="s">
        <v>131</v>
      </c>
      <c r="AE42" t="s">
        <v>61</v>
      </c>
      <c r="AF42">
        <v>20</v>
      </c>
      <c r="AG42" t="s">
        <v>62</v>
      </c>
      <c r="AH42" t="s">
        <v>63</v>
      </c>
      <c r="AI42" t="s">
        <v>499</v>
      </c>
      <c r="AJ42" t="s">
        <v>65</v>
      </c>
      <c r="AK42" t="s">
        <v>500</v>
      </c>
      <c r="AL42" t="s">
        <v>501</v>
      </c>
      <c r="AM42">
        <v>1000</v>
      </c>
      <c r="AN42" t="s">
        <v>135</v>
      </c>
      <c r="AO42" t="s">
        <v>136</v>
      </c>
      <c r="AP42" t="s">
        <v>502</v>
      </c>
      <c r="AQ42" t="s">
        <v>131</v>
      </c>
      <c r="AR42" t="s">
        <v>137</v>
      </c>
      <c r="AS42" t="s">
        <v>503</v>
      </c>
      <c r="AT42" t="s">
        <v>504</v>
      </c>
      <c r="AU42" t="s">
        <v>505</v>
      </c>
      <c r="AV42" t="s">
        <v>76</v>
      </c>
    </row>
    <row r="43" spans="1:48" x14ac:dyDescent="0.35">
      <c r="A43" t="s">
        <v>506</v>
      </c>
      <c r="B43" t="s">
        <v>480</v>
      </c>
      <c r="C43" t="s">
        <v>507</v>
      </c>
      <c r="D43" t="s">
        <v>506</v>
      </c>
      <c r="E43" t="s">
        <v>508</v>
      </c>
      <c r="F43" t="s">
        <v>509</v>
      </c>
      <c r="G43" t="s">
        <v>49</v>
      </c>
      <c r="H43" t="s">
        <v>49</v>
      </c>
      <c r="I43" t="s">
        <v>49</v>
      </c>
      <c r="J43" t="s">
        <v>49</v>
      </c>
      <c r="K43" t="s">
        <v>55</v>
      </c>
      <c r="L43" t="s">
        <v>49</v>
      </c>
      <c r="M43" t="s">
        <v>56</v>
      </c>
      <c r="N43">
        <v>0.93935142125573401</v>
      </c>
      <c r="O43">
        <v>0.1322875563130354</v>
      </c>
      <c r="P43">
        <v>1.6706930354880871</v>
      </c>
      <c r="Q43">
        <v>30</v>
      </c>
      <c r="R43">
        <v>1.4771212547196624</v>
      </c>
      <c r="S43">
        <v>7.9181246047624818E-2</v>
      </c>
      <c r="T43">
        <v>35.913240030040114</v>
      </c>
      <c r="U43">
        <v>6</v>
      </c>
      <c r="V43">
        <v>0.15434825514141431</v>
      </c>
      <c r="W43">
        <v>70.005793187157892</v>
      </c>
      <c r="X43">
        <v>1.9653024542969997E-2</v>
      </c>
      <c r="Y43">
        <v>60</v>
      </c>
      <c r="Z43" t="s">
        <v>57</v>
      </c>
      <c r="AA43" t="s">
        <v>430</v>
      </c>
      <c r="AB43" t="s">
        <v>430</v>
      </c>
      <c r="AC43" t="s">
        <v>431</v>
      </c>
      <c r="AD43" t="s">
        <v>131</v>
      </c>
      <c r="AE43" t="s">
        <v>510</v>
      </c>
      <c r="AF43">
        <v>20</v>
      </c>
      <c r="AG43" t="s">
        <v>62</v>
      </c>
      <c r="AH43" t="s">
        <v>63</v>
      </c>
      <c r="AI43" t="s">
        <v>511</v>
      </c>
      <c r="AJ43" t="s">
        <v>512</v>
      </c>
      <c r="AK43" t="s">
        <v>513</v>
      </c>
      <c r="AL43" t="s">
        <v>514</v>
      </c>
      <c r="AM43">
        <v>1000</v>
      </c>
      <c r="AN43" t="s">
        <v>135</v>
      </c>
      <c r="AO43" t="s">
        <v>136</v>
      </c>
      <c r="AP43" t="s">
        <v>136</v>
      </c>
      <c r="AQ43" t="s">
        <v>137</v>
      </c>
      <c r="AR43" t="s">
        <v>515</v>
      </c>
      <c r="AS43" t="s">
        <v>516</v>
      </c>
      <c r="AT43" t="s">
        <v>491</v>
      </c>
      <c r="AU43" t="s">
        <v>517</v>
      </c>
      <c r="AV43" t="s">
        <v>76</v>
      </c>
    </row>
    <row r="44" spans="1:48" x14ac:dyDescent="0.35">
      <c r="A44" t="s">
        <v>518</v>
      </c>
      <c r="B44" t="s">
        <v>49</v>
      </c>
      <c r="C44" t="s">
        <v>519</v>
      </c>
      <c r="D44" t="s">
        <v>518</v>
      </c>
      <c r="E44" t="s">
        <v>520</v>
      </c>
      <c r="F44" t="s">
        <v>521</v>
      </c>
      <c r="G44" t="s">
        <v>522</v>
      </c>
      <c r="H44" t="s">
        <v>523</v>
      </c>
      <c r="I44" t="str">
        <f>HYPERLINK("https://www.ncbi.nlm.nih.gov/gene/2100", "https://www.ncbi.nlm.nih.gov/gene/2100")</f>
        <v>https://www.ncbi.nlm.nih.gov/gene/2100</v>
      </c>
      <c r="J44" t="s">
        <v>524</v>
      </c>
      <c r="K44" t="s">
        <v>55</v>
      </c>
      <c r="L44" t="s">
        <v>49</v>
      </c>
      <c r="M44" t="s">
        <v>56</v>
      </c>
      <c r="N44">
        <v>0.99973831672217717</v>
      </c>
      <c r="O44">
        <v>1.1657977643459092</v>
      </c>
      <c r="P44">
        <v>1.4142537447570664</v>
      </c>
      <c r="Q44">
        <v>38.425176238503084</v>
      </c>
      <c r="R44">
        <v>1.58461586808418</v>
      </c>
      <c r="S44">
        <v>0.82432008305989257</v>
      </c>
      <c r="T44">
        <v>51.557751988879232</v>
      </c>
      <c r="U44">
        <v>18.462269181583807</v>
      </c>
      <c r="V44">
        <v>0.59353256188882597</v>
      </c>
      <c r="W44">
        <v>38.895774421807026</v>
      </c>
      <c r="X44">
        <v>0.27477336101996419</v>
      </c>
      <c r="Y44">
        <v>200</v>
      </c>
      <c r="Z44" t="s">
        <v>57</v>
      </c>
      <c r="AA44" t="s">
        <v>383</v>
      </c>
      <c r="AB44" t="s">
        <v>383</v>
      </c>
      <c r="AC44" t="s">
        <v>384</v>
      </c>
      <c r="AD44" t="s">
        <v>60</v>
      </c>
      <c r="AE44" t="s">
        <v>525</v>
      </c>
      <c r="AF44">
        <v>20</v>
      </c>
      <c r="AG44" t="s">
        <v>62</v>
      </c>
      <c r="AH44" t="s">
        <v>63</v>
      </c>
      <c r="AI44" t="s">
        <v>371</v>
      </c>
      <c r="AJ44" t="s">
        <v>65</v>
      </c>
      <c r="AK44" t="s">
        <v>526</v>
      </c>
      <c r="AL44" t="s">
        <v>527</v>
      </c>
      <c r="AM44">
        <v>1000</v>
      </c>
      <c r="AN44" t="s">
        <v>155</v>
      </c>
      <c r="AO44" t="s">
        <v>156</v>
      </c>
      <c r="AP44" t="s">
        <v>387</v>
      </c>
      <c r="AQ44" t="s">
        <v>414</v>
      </c>
      <c r="AR44" t="s">
        <v>72</v>
      </c>
      <c r="AS44" t="s">
        <v>388</v>
      </c>
      <c r="AT44" t="s">
        <v>74</v>
      </c>
      <c r="AU44" t="s">
        <v>415</v>
      </c>
      <c r="AV44" t="s">
        <v>76</v>
      </c>
    </row>
    <row r="45" spans="1:48" x14ac:dyDescent="0.35">
      <c r="A45" t="s">
        <v>528</v>
      </c>
      <c r="B45" t="s">
        <v>49</v>
      </c>
      <c r="C45" t="s">
        <v>529</v>
      </c>
      <c r="D45" t="s">
        <v>528</v>
      </c>
      <c r="E45" t="s">
        <v>530</v>
      </c>
      <c r="F45" t="s">
        <v>531</v>
      </c>
      <c r="G45" t="s">
        <v>532</v>
      </c>
      <c r="H45" t="s">
        <v>533</v>
      </c>
      <c r="I45" t="str">
        <f>HYPERLINK("https://www.ncbi.nlm.nih.gov/gene/5327", "https://www.ncbi.nlm.nih.gov/gene/5327")</f>
        <v>https://www.ncbi.nlm.nih.gov/gene/5327</v>
      </c>
      <c r="J45" t="s">
        <v>534</v>
      </c>
      <c r="K45" t="s">
        <v>55</v>
      </c>
      <c r="L45" t="s">
        <v>49</v>
      </c>
      <c r="M45" t="s">
        <v>56</v>
      </c>
      <c r="N45">
        <v>0.91778101807651202</v>
      </c>
      <c r="O45">
        <v>-0.11878642171220602</v>
      </c>
      <c r="P45">
        <v>-1.3808100138396475</v>
      </c>
      <c r="Q45">
        <v>30</v>
      </c>
      <c r="R45">
        <v>1.4771212547196624</v>
      </c>
      <c r="S45">
        <v>8.602662243294E-2</v>
      </c>
      <c r="T45">
        <v>43.452755555528405</v>
      </c>
      <c r="U45">
        <v>6</v>
      </c>
      <c r="V45">
        <v>5.0974888327367233E-2</v>
      </c>
      <c r="W45">
        <v>25.747835952598237</v>
      </c>
      <c r="X45">
        <v>2.8675540810980001E-2</v>
      </c>
      <c r="Y45">
        <v>2.2000000000000002</v>
      </c>
      <c r="Z45" t="s">
        <v>57</v>
      </c>
      <c r="AA45" t="s">
        <v>430</v>
      </c>
      <c r="AB45" t="s">
        <v>430</v>
      </c>
      <c r="AC45" t="s">
        <v>431</v>
      </c>
      <c r="AD45" t="s">
        <v>432</v>
      </c>
      <c r="AE45" t="s">
        <v>433</v>
      </c>
      <c r="AF45">
        <v>20</v>
      </c>
      <c r="AG45" t="s">
        <v>62</v>
      </c>
      <c r="AH45" t="s">
        <v>63</v>
      </c>
      <c r="AI45" t="s">
        <v>535</v>
      </c>
      <c r="AJ45" t="s">
        <v>401</v>
      </c>
      <c r="AK45" t="s">
        <v>487</v>
      </c>
      <c r="AL45" t="s">
        <v>536</v>
      </c>
      <c r="AM45">
        <v>1000</v>
      </c>
      <c r="AN45" t="s">
        <v>201</v>
      </c>
      <c r="AO45" t="s">
        <v>156</v>
      </c>
      <c r="AP45" t="s">
        <v>172</v>
      </c>
      <c r="AQ45" t="s">
        <v>537</v>
      </c>
      <c r="AR45" t="s">
        <v>438</v>
      </c>
      <c r="AS45" t="s">
        <v>439</v>
      </c>
      <c r="AT45" t="s">
        <v>491</v>
      </c>
      <c r="AU45" t="s">
        <v>441</v>
      </c>
      <c r="AV45" t="s">
        <v>76</v>
      </c>
    </row>
    <row r="46" spans="1:48" x14ac:dyDescent="0.35">
      <c r="A46" t="s">
        <v>538</v>
      </c>
      <c r="B46" t="s">
        <v>493</v>
      </c>
      <c r="C46" t="s">
        <v>539</v>
      </c>
      <c r="D46" t="s">
        <v>538</v>
      </c>
      <c r="E46" t="s">
        <v>540</v>
      </c>
      <c r="F46" t="s">
        <v>541</v>
      </c>
      <c r="G46" t="s">
        <v>49</v>
      </c>
      <c r="H46" t="s">
        <v>49</v>
      </c>
      <c r="I46" t="s">
        <v>49</v>
      </c>
      <c r="J46" t="s">
        <v>49</v>
      </c>
      <c r="K46" t="s">
        <v>55</v>
      </c>
      <c r="L46" t="s">
        <v>49</v>
      </c>
      <c r="M46" t="s">
        <v>56</v>
      </c>
      <c r="N46">
        <v>0.99525537313864121</v>
      </c>
      <c r="O46">
        <v>-54.318476409815005</v>
      </c>
      <c r="P46">
        <v>-1.8106158803271668</v>
      </c>
      <c r="Q46">
        <v>26.347429598197024</v>
      </c>
      <c r="R46">
        <v>1.4207382527261718</v>
      </c>
      <c r="S46">
        <v>30</v>
      </c>
      <c r="T46">
        <v>26.839041053849709</v>
      </c>
      <c r="U46">
        <v>20.819451983978787</v>
      </c>
      <c r="V46">
        <v>37.202950474775037</v>
      </c>
      <c r="W46">
        <v>28.083565351018546</v>
      </c>
      <c r="X46">
        <v>13.563320181731227</v>
      </c>
      <c r="Y46">
        <v>0.3</v>
      </c>
      <c r="Z46" t="s">
        <v>57</v>
      </c>
      <c r="AA46" t="s">
        <v>542</v>
      </c>
      <c r="AB46" t="s">
        <v>542</v>
      </c>
      <c r="AC46" t="s">
        <v>543</v>
      </c>
      <c r="AD46" t="s">
        <v>544</v>
      </c>
      <c r="AE46" t="s">
        <v>103</v>
      </c>
      <c r="AF46">
        <v>20</v>
      </c>
      <c r="AG46" t="s">
        <v>62</v>
      </c>
      <c r="AH46" t="s">
        <v>185</v>
      </c>
      <c r="AI46" t="s">
        <v>545</v>
      </c>
      <c r="AJ46" t="s">
        <v>401</v>
      </c>
      <c r="AK46" t="s">
        <v>546</v>
      </c>
      <c r="AL46" t="s">
        <v>547</v>
      </c>
      <c r="AM46">
        <v>1000</v>
      </c>
      <c r="AN46" t="s">
        <v>548</v>
      </c>
      <c r="AO46" t="s">
        <v>549</v>
      </c>
      <c r="AP46" t="s">
        <v>550</v>
      </c>
      <c r="AQ46" t="s">
        <v>551</v>
      </c>
      <c r="AR46" t="s">
        <v>552</v>
      </c>
      <c r="AS46" t="s">
        <v>553</v>
      </c>
      <c r="AT46" t="s">
        <v>554</v>
      </c>
      <c r="AU46" t="s">
        <v>555</v>
      </c>
      <c r="AV46" t="s">
        <v>76</v>
      </c>
    </row>
    <row r="47" spans="1:48" x14ac:dyDescent="0.35">
      <c r="A47" t="s">
        <v>556</v>
      </c>
      <c r="B47" t="s">
        <v>49</v>
      </c>
      <c r="C47" t="s">
        <v>557</v>
      </c>
      <c r="D47" t="s">
        <v>556</v>
      </c>
      <c r="E47" t="s">
        <v>558</v>
      </c>
      <c r="F47" t="s">
        <v>559</v>
      </c>
      <c r="G47" t="s">
        <v>144</v>
      </c>
      <c r="H47" t="s">
        <v>145</v>
      </c>
      <c r="I47" t="str">
        <f>HYPERLINK("https://www.ncbi.nlm.nih.gov/gene/5465", "https://www.ncbi.nlm.nih.gov/gene/5465")</f>
        <v>https://www.ncbi.nlm.nih.gov/gene/5465</v>
      </c>
      <c r="J47" t="s">
        <v>146</v>
      </c>
      <c r="K47" t="s">
        <v>55</v>
      </c>
      <c r="L47" t="s">
        <v>49</v>
      </c>
      <c r="M47" t="s">
        <v>56</v>
      </c>
      <c r="N47">
        <v>0.99999999999215272</v>
      </c>
      <c r="O47">
        <v>3.668133705885646</v>
      </c>
      <c r="P47">
        <v>3.1557454600271244</v>
      </c>
      <c r="Q47">
        <v>26.320977189758302</v>
      </c>
      <c r="R47">
        <v>1.4203020088112877</v>
      </c>
      <c r="S47">
        <v>1.1623667853915307</v>
      </c>
      <c r="T47">
        <v>14.101545649221491</v>
      </c>
      <c r="U47">
        <v>4.4158690631379383</v>
      </c>
      <c r="V47">
        <v>0.3596981870040703</v>
      </c>
      <c r="W47">
        <v>4.3385538145629319</v>
      </c>
      <c r="X47">
        <v>0.23247335707830613</v>
      </c>
      <c r="Y47">
        <v>300</v>
      </c>
      <c r="Z47" t="s">
        <v>57</v>
      </c>
      <c r="AA47" t="s">
        <v>383</v>
      </c>
      <c r="AB47" t="s">
        <v>383</v>
      </c>
      <c r="AC47" t="s">
        <v>384</v>
      </c>
      <c r="AD47" t="s">
        <v>60</v>
      </c>
      <c r="AE47" t="s">
        <v>61</v>
      </c>
      <c r="AF47">
        <v>20</v>
      </c>
      <c r="AG47" t="s">
        <v>62</v>
      </c>
      <c r="AH47" t="s">
        <v>63</v>
      </c>
      <c r="AI47" t="s">
        <v>371</v>
      </c>
      <c r="AJ47" t="s">
        <v>65</v>
      </c>
      <c r="AK47" t="s">
        <v>560</v>
      </c>
      <c r="AL47" t="s">
        <v>561</v>
      </c>
      <c r="AM47">
        <v>1000</v>
      </c>
      <c r="AN47" t="s">
        <v>155</v>
      </c>
      <c r="AO47" t="s">
        <v>156</v>
      </c>
      <c r="AP47" t="s">
        <v>387</v>
      </c>
      <c r="AQ47" t="s">
        <v>158</v>
      </c>
      <c r="AR47" t="s">
        <v>72</v>
      </c>
      <c r="AS47" t="s">
        <v>388</v>
      </c>
      <c r="AT47" t="s">
        <v>74</v>
      </c>
      <c r="AU47">
        <v>1475794</v>
      </c>
      <c r="AV47" t="s">
        <v>76</v>
      </c>
    </row>
    <row r="48" spans="1:48" x14ac:dyDescent="0.35">
      <c r="A48" t="s">
        <v>562</v>
      </c>
      <c r="B48" t="s">
        <v>49</v>
      </c>
      <c r="C48" t="s">
        <v>563</v>
      </c>
      <c r="D48" t="s">
        <v>562</v>
      </c>
      <c r="E48" t="s">
        <v>564</v>
      </c>
      <c r="F48" t="s">
        <v>565</v>
      </c>
      <c r="G48" t="s">
        <v>49</v>
      </c>
      <c r="H48" t="s">
        <v>566</v>
      </c>
      <c r="I48" t="str">
        <f>HYPERLINK("https://www.ncbi.nlm.nih.gov/gene/19016", "https://www.ncbi.nlm.nih.gov/gene/19016")</f>
        <v>https://www.ncbi.nlm.nih.gov/gene/19016</v>
      </c>
      <c r="J48" t="s">
        <v>567</v>
      </c>
      <c r="K48" t="s">
        <v>55</v>
      </c>
      <c r="L48" t="s">
        <v>49</v>
      </c>
      <c r="M48" t="s">
        <v>56</v>
      </c>
      <c r="N48">
        <v>0.99999996462123342</v>
      </c>
      <c r="O48">
        <v>3.182053315804481</v>
      </c>
      <c r="P48">
        <v>6.0794178497487481</v>
      </c>
      <c r="Q48">
        <v>44.815269433549304</v>
      </c>
      <c r="R48">
        <v>1.6514260117855377</v>
      </c>
      <c r="S48">
        <v>0.52341414827013244</v>
      </c>
      <c r="T48">
        <v>26.151636592836674</v>
      </c>
      <c r="U48">
        <v>21.133195057773431</v>
      </c>
      <c r="V48">
        <v>0.44961759126879913</v>
      </c>
      <c r="W48">
        <v>24.482496446378192</v>
      </c>
      <c r="X48">
        <v>0.17447138275671081</v>
      </c>
      <c r="Y48">
        <v>200</v>
      </c>
      <c r="Z48" t="s">
        <v>57</v>
      </c>
      <c r="AA48" t="s">
        <v>383</v>
      </c>
      <c r="AB48" t="s">
        <v>383</v>
      </c>
      <c r="AC48" t="s">
        <v>384</v>
      </c>
      <c r="AD48" t="s">
        <v>60</v>
      </c>
      <c r="AE48" t="s">
        <v>198</v>
      </c>
      <c r="AF48">
        <v>20</v>
      </c>
      <c r="AG48" t="s">
        <v>62</v>
      </c>
      <c r="AH48" t="s">
        <v>63</v>
      </c>
      <c r="AI48" t="s">
        <v>371</v>
      </c>
      <c r="AJ48" t="s">
        <v>65</v>
      </c>
      <c r="AK48" t="s">
        <v>568</v>
      </c>
      <c r="AL48" t="s">
        <v>569</v>
      </c>
      <c r="AM48">
        <v>1000</v>
      </c>
      <c r="AN48" t="s">
        <v>155</v>
      </c>
      <c r="AO48" t="s">
        <v>156</v>
      </c>
      <c r="AP48" t="s">
        <v>387</v>
      </c>
      <c r="AQ48" t="s">
        <v>158</v>
      </c>
      <c r="AR48" t="s">
        <v>72</v>
      </c>
      <c r="AS48" t="s">
        <v>388</v>
      </c>
      <c r="AT48" t="s">
        <v>74</v>
      </c>
      <c r="AU48" t="s">
        <v>415</v>
      </c>
      <c r="AV48" t="s">
        <v>76</v>
      </c>
    </row>
    <row r="49" spans="1:48" x14ac:dyDescent="0.35">
      <c r="A49" t="s">
        <v>570</v>
      </c>
      <c r="B49" t="s">
        <v>49</v>
      </c>
      <c r="C49" t="s">
        <v>571</v>
      </c>
      <c r="D49" t="s">
        <v>570</v>
      </c>
      <c r="E49" t="s">
        <v>572</v>
      </c>
      <c r="F49" t="s">
        <v>573</v>
      </c>
      <c r="G49" t="s">
        <v>574</v>
      </c>
      <c r="H49" t="s">
        <v>575</v>
      </c>
      <c r="I49" t="str">
        <f>HYPERLINK("https://www.ncbi.nlm.nih.gov/gene/1576", "https://www.ncbi.nlm.nih.gov/gene/1576")</f>
        <v>https://www.ncbi.nlm.nih.gov/gene/1576</v>
      </c>
      <c r="J49" t="s">
        <v>576</v>
      </c>
      <c r="K49" t="s">
        <v>55</v>
      </c>
      <c r="L49" t="s">
        <v>49</v>
      </c>
      <c r="M49" t="s">
        <v>56</v>
      </c>
      <c r="N49">
        <v>0.90098115523685418</v>
      </c>
      <c r="O49">
        <v>1.4941624155254911</v>
      </c>
      <c r="P49">
        <v>1.4941624155254911</v>
      </c>
      <c r="Q49">
        <v>20</v>
      </c>
      <c r="R49">
        <v>1.3010299956639813</v>
      </c>
      <c r="S49">
        <v>1</v>
      </c>
      <c r="T49">
        <v>26.770851404351617</v>
      </c>
      <c r="U49">
        <v>4</v>
      </c>
      <c r="V49">
        <v>1.0600725958356967</v>
      </c>
      <c r="W49">
        <v>28.379045940942724</v>
      </c>
      <c r="X49">
        <v>0.71969381396259813</v>
      </c>
      <c r="Y49">
        <v>40</v>
      </c>
      <c r="Z49" t="s">
        <v>57</v>
      </c>
      <c r="AA49" t="s">
        <v>397</v>
      </c>
      <c r="AB49" t="s">
        <v>397</v>
      </c>
      <c r="AC49" t="s">
        <v>398</v>
      </c>
      <c r="AD49" t="s">
        <v>60</v>
      </c>
      <c r="AE49" t="s">
        <v>399</v>
      </c>
      <c r="AF49">
        <v>20</v>
      </c>
      <c r="AG49" t="s">
        <v>62</v>
      </c>
      <c r="AH49" t="s">
        <v>63</v>
      </c>
      <c r="AI49" t="s">
        <v>400</v>
      </c>
      <c r="AJ49" t="s">
        <v>401</v>
      </c>
      <c r="AK49" t="s">
        <v>577</v>
      </c>
      <c r="AL49" t="s">
        <v>578</v>
      </c>
      <c r="AM49">
        <v>1000</v>
      </c>
      <c r="AN49" t="s">
        <v>171</v>
      </c>
      <c r="AO49" t="s">
        <v>69</v>
      </c>
      <c r="AP49" t="s">
        <v>70</v>
      </c>
      <c r="AQ49" t="s">
        <v>189</v>
      </c>
      <c r="AR49" t="s">
        <v>49</v>
      </c>
      <c r="AS49" t="s">
        <v>404</v>
      </c>
      <c r="AT49" t="s">
        <v>74</v>
      </c>
      <c r="AU49" t="s">
        <v>405</v>
      </c>
      <c r="AV49" t="s">
        <v>76</v>
      </c>
    </row>
    <row r="50" spans="1:48" x14ac:dyDescent="0.35">
      <c r="A50" t="s">
        <v>579</v>
      </c>
      <c r="B50" t="s">
        <v>49</v>
      </c>
      <c r="C50" t="s">
        <v>580</v>
      </c>
      <c r="D50" t="s">
        <v>579</v>
      </c>
      <c r="E50" t="s">
        <v>581</v>
      </c>
      <c r="F50" t="s">
        <v>582</v>
      </c>
      <c r="G50" t="s">
        <v>583</v>
      </c>
      <c r="H50" t="s">
        <v>584</v>
      </c>
      <c r="I50" t="str">
        <f>HYPERLINK("https://www.ncbi.nlm.nih.gov/gene/6257", "https://www.ncbi.nlm.nih.gov/gene/6257")</f>
        <v>https://www.ncbi.nlm.nih.gov/gene/6257</v>
      </c>
      <c r="J50" t="s">
        <v>585</v>
      </c>
      <c r="K50" t="s">
        <v>55</v>
      </c>
      <c r="L50" t="s">
        <v>49</v>
      </c>
      <c r="M50" t="s">
        <v>56</v>
      </c>
      <c r="N50">
        <v>0.99999999995963862</v>
      </c>
      <c r="O50">
        <v>3.4393521978503161</v>
      </c>
      <c r="P50">
        <v>5.3196761100740835</v>
      </c>
      <c r="Q50">
        <v>28.957575960172075</v>
      </c>
      <c r="R50">
        <v>1.4617622042384137</v>
      </c>
      <c r="S50">
        <v>0.64653413604205667</v>
      </c>
      <c r="T50">
        <v>13.161933309071292</v>
      </c>
      <c r="U50">
        <v>8.8618441306424423</v>
      </c>
      <c r="V50">
        <v>1.22248913986806</v>
      </c>
      <c r="W50">
        <v>21.011677644392378</v>
      </c>
      <c r="X50">
        <v>0.21551137868068557</v>
      </c>
      <c r="Y50">
        <v>150</v>
      </c>
      <c r="Z50" t="s">
        <v>57</v>
      </c>
      <c r="AA50" t="s">
        <v>383</v>
      </c>
      <c r="AB50" t="s">
        <v>383</v>
      </c>
      <c r="AC50" t="s">
        <v>384</v>
      </c>
      <c r="AD50" t="s">
        <v>60</v>
      </c>
      <c r="AE50" t="s">
        <v>61</v>
      </c>
      <c r="AF50">
        <v>20</v>
      </c>
      <c r="AG50" t="s">
        <v>62</v>
      </c>
      <c r="AH50" t="s">
        <v>63</v>
      </c>
      <c r="AI50" t="s">
        <v>371</v>
      </c>
      <c r="AJ50" t="s">
        <v>65</v>
      </c>
      <c r="AK50" t="s">
        <v>586</v>
      </c>
      <c r="AL50" t="s">
        <v>587</v>
      </c>
      <c r="AM50">
        <v>1000</v>
      </c>
      <c r="AN50" t="s">
        <v>155</v>
      </c>
      <c r="AO50" t="s">
        <v>156</v>
      </c>
      <c r="AP50" t="s">
        <v>387</v>
      </c>
      <c r="AQ50" t="s">
        <v>158</v>
      </c>
      <c r="AR50" t="s">
        <v>72</v>
      </c>
      <c r="AS50" t="s">
        <v>388</v>
      </c>
      <c r="AT50" t="s">
        <v>74</v>
      </c>
      <c r="AU50" t="s">
        <v>389</v>
      </c>
      <c r="AV50" t="s">
        <v>76</v>
      </c>
    </row>
    <row r="51" spans="1:48" x14ac:dyDescent="0.35">
      <c r="A51" t="s">
        <v>588</v>
      </c>
      <c r="B51" t="s">
        <v>377</v>
      </c>
      <c r="C51" t="s">
        <v>589</v>
      </c>
      <c r="D51" t="s">
        <v>588</v>
      </c>
      <c r="E51" t="s">
        <v>590</v>
      </c>
      <c r="F51" t="s">
        <v>591</v>
      </c>
      <c r="G51" t="s">
        <v>49</v>
      </c>
      <c r="H51" t="s">
        <v>592</v>
      </c>
      <c r="I51" t="str">
        <f>HYPERLINK("https://www.ncbi.nlm.nih.gov/gene/394278", "https://www.ncbi.nlm.nih.gov/gene/394278")</f>
        <v>https://www.ncbi.nlm.nih.gov/gene/394278</v>
      </c>
      <c r="J51" t="s">
        <v>593</v>
      </c>
      <c r="K51" t="s">
        <v>55</v>
      </c>
      <c r="L51" t="s">
        <v>49</v>
      </c>
      <c r="M51" t="s">
        <v>56</v>
      </c>
      <c r="N51">
        <v>0.99999998394988898</v>
      </c>
      <c r="O51">
        <v>2.4752059453747095</v>
      </c>
      <c r="P51">
        <v>3.4645972371049352</v>
      </c>
      <c r="Q51">
        <v>29.976006420298546</v>
      </c>
      <c r="R51">
        <v>1.4767737731034869</v>
      </c>
      <c r="S51">
        <v>0.71442819351868603</v>
      </c>
      <c r="T51">
        <v>18.926015964146089</v>
      </c>
      <c r="U51">
        <v>8.8580040647030049</v>
      </c>
      <c r="V51">
        <v>1.065607296315638</v>
      </c>
      <c r="W51">
        <v>26.202170279934361</v>
      </c>
      <c r="X51">
        <v>0.23814273117289536</v>
      </c>
      <c r="Y51">
        <v>150</v>
      </c>
      <c r="Z51" t="s">
        <v>57</v>
      </c>
      <c r="AA51" t="s">
        <v>383</v>
      </c>
      <c r="AB51" t="s">
        <v>383</v>
      </c>
      <c r="AC51" t="s">
        <v>384</v>
      </c>
      <c r="AD51" t="s">
        <v>60</v>
      </c>
      <c r="AE51" t="s">
        <v>61</v>
      </c>
      <c r="AF51">
        <v>20</v>
      </c>
      <c r="AG51" t="s">
        <v>62</v>
      </c>
      <c r="AH51" t="s">
        <v>63</v>
      </c>
      <c r="AI51" t="s">
        <v>371</v>
      </c>
      <c r="AJ51" t="s">
        <v>65</v>
      </c>
      <c r="AK51" t="s">
        <v>594</v>
      </c>
      <c r="AL51" t="s">
        <v>595</v>
      </c>
      <c r="AM51">
        <v>1000</v>
      </c>
      <c r="AN51" t="s">
        <v>155</v>
      </c>
      <c r="AO51" t="s">
        <v>156</v>
      </c>
      <c r="AP51" t="s">
        <v>387</v>
      </c>
      <c r="AQ51" t="s">
        <v>158</v>
      </c>
      <c r="AR51" t="s">
        <v>72</v>
      </c>
      <c r="AS51" t="s">
        <v>388</v>
      </c>
      <c r="AT51" t="s">
        <v>74</v>
      </c>
      <c r="AU51" t="s">
        <v>389</v>
      </c>
      <c r="AV51" t="s">
        <v>76</v>
      </c>
    </row>
    <row r="52" spans="1:48" x14ac:dyDescent="0.35">
      <c r="A52" t="s">
        <v>596</v>
      </c>
      <c r="B52" t="s">
        <v>377</v>
      </c>
      <c r="C52" t="s">
        <v>597</v>
      </c>
      <c r="D52" t="s">
        <v>596</v>
      </c>
      <c r="E52" t="s">
        <v>598</v>
      </c>
      <c r="F52" t="s">
        <v>599</v>
      </c>
      <c r="G52" t="s">
        <v>49</v>
      </c>
      <c r="H52" t="s">
        <v>600</v>
      </c>
      <c r="I52" t="str">
        <f>HYPERLINK("https://www.ncbi.nlm.nih.gov/gene/317733", "https://www.ncbi.nlm.nih.gov/gene/317733")</f>
        <v>https://www.ncbi.nlm.nih.gov/gene/317733</v>
      </c>
      <c r="J52" t="s">
        <v>601</v>
      </c>
      <c r="K52" t="s">
        <v>55</v>
      </c>
      <c r="L52" t="s">
        <v>49</v>
      </c>
      <c r="M52" t="s">
        <v>56</v>
      </c>
      <c r="N52">
        <v>0.99999646414042676</v>
      </c>
      <c r="O52">
        <v>2.3791239294279638</v>
      </c>
      <c r="P52">
        <v>4.572746061960685</v>
      </c>
      <c r="Q52">
        <v>124.0423000151476</v>
      </c>
      <c r="R52">
        <v>2.0935698104081304</v>
      </c>
      <c r="S52">
        <v>0.52028341333431749</v>
      </c>
      <c r="T52">
        <v>70.154768350018045</v>
      </c>
      <c r="U52">
        <v>40.913080245126224</v>
      </c>
      <c r="V52">
        <v>0.86522307291242317</v>
      </c>
      <c r="W52">
        <v>99.606154302866003</v>
      </c>
      <c r="X52">
        <v>0.17342780444477252</v>
      </c>
      <c r="Y52">
        <v>200</v>
      </c>
      <c r="Z52" t="s">
        <v>57</v>
      </c>
      <c r="AA52" t="s">
        <v>383</v>
      </c>
      <c r="AB52" t="s">
        <v>383</v>
      </c>
      <c r="AC52" t="s">
        <v>384</v>
      </c>
      <c r="AD52" t="s">
        <v>60</v>
      </c>
      <c r="AE52" t="s">
        <v>602</v>
      </c>
      <c r="AF52">
        <v>20</v>
      </c>
      <c r="AG52" t="s">
        <v>62</v>
      </c>
      <c r="AH52" t="s">
        <v>63</v>
      </c>
      <c r="AI52" t="s">
        <v>371</v>
      </c>
      <c r="AJ52" t="s">
        <v>65</v>
      </c>
      <c r="AK52" t="s">
        <v>603</v>
      </c>
      <c r="AL52" t="s">
        <v>604</v>
      </c>
      <c r="AM52">
        <v>1000</v>
      </c>
      <c r="AN52" t="s">
        <v>155</v>
      </c>
      <c r="AO52" t="s">
        <v>156</v>
      </c>
      <c r="AP52" t="s">
        <v>387</v>
      </c>
      <c r="AQ52" t="s">
        <v>414</v>
      </c>
      <c r="AR52" t="s">
        <v>72</v>
      </c>
      <c r="AS52" t="s">
        <v>388</v>
      </c>
      <c r="AT52" t="s">
        <v>74</v>
      </c>
      <c r="AU52" t="s">
        <v>415</v>
      </c>
      <c r="AV52" t="s">
        <v>76</v>
      </c>
    </row>
    <row r="53" spans="1:48" x14ac:dyDescent="0.35">
      <c r="A53" t="s">
        <v>605</v>
      </c>
      <c r="B53" t="s">
        <v>377</v>
      </c>
      <c r="C53" t="s">
        <v>606</v>
      </c>
      <c r="D53" t="s">
        <v>605</v>
      </c>
      <c r="E53" t="s">
        <v>607</v>
      </c>
      <c r="F53" t="s">
        <v>608</v>
      </c>
      <c r="G53" t="s">
        <v>49</v>
      </c>
      <c r="H53" t="s">
        <v>609</v>
      </c>
      <c r="I53" t="str">
        <f>HYPERLINK("https://www.ncbi.nlm.nih.gov/gene/100174814", "https://www.ncbi.nlm.nih.gov/gene/100174814")</f>
        <v>https://www.ncbi.nlm.nih.gov/gene/100174814</v>
      </c>
      <c r="J53" t="s">
        <v>610</v>
      </c>
      <c r="K53" t="s">
        <v>55</v>
      </c>
      <c r="L53" t="s">
        <v>49</v>
      </c>
      <c r="M53" t="s">
        <v>56</v>
      </c>
      <c r="N53">
        <v>0.99999995081405424</v>
      </c>
      <c r="O53">
        <v>1.6029055096933396</v>
      </c>
      <c r="P53">
        <v>3.1263636841946463</v>
      </c>
      <c r="Q53">
        <v>64.115052836267864</v>
      </c>
      <c r="R53">
        <v>1.806960004499345</v>
      </c>
      <c r="S53">
        <v>0.51270602898723516</v>
      </c>
      <c r="T53">
        <v>59.580458657750491</v>
      </c>
      <c r="U53">
        <v>50.663074462199837</v>
      </c>
      <c r="V53">
        <v>0.65354117504228804</v>
      </c>
      <c r="W53">
        <v>61.908530001208305</v>
      </c>
      <c r="X53">
        <v>0.17090200966241173</v>
      </c>
      <c r="Y53">
        <v>200</v>
      </c>
      <c r="Z53" t="s">
        <v>57</v>
      </c>
      <c r="AA53" t="s">
        <v>383</v>
      </c>
      <c r="AB53" t="s">
        <v>383</v>
      </c>
      <c r="AC53" t="s">
        <v>384</v>
      </c>
      <c r="AD53" t="s">
        <v>60</v>
      </c>
      <c r="AE53" t="s">
        <v>198</v>
      </c>
      <c r="AF53">
        <v>20</v>
      </c>
      <c r="AG53" t="s">
        <v>62</v>
      </c>
      <c r="AH53" t="s">
        <v>63</v>
      </c>
      <c r="AI53" t="s">
        <v>371</v>
      </c>
      <c r="AJ53" t="s">
        <v>65</v>
      </c>
      <c r="AK53" t="s">
        <v>611</v>
      </c>
      <c r="AL53" t="s">
        <v>612</v>
      </c>
      <c r="AM53">
        <v>1000</v>
      </c>
      <c r="AN53" t="s">
        <v>155</v>
      </c>
      <c r="AO53" t="s">
        <v>156</v>
      </c>
      <c r="AP53" t="s">
        <v>387</v>
      </c>
      <c r="AQ53" t="s">
        <v>414</v>
      </c>
      <c r="AR53" t="s">
        <v>72</v>
      </c>
      <c r="AS53" t="s">
        <v>388</v>
      </c>
      <c r="AT53" t="s">
        <v>74</v>
      </c>
      <c r="AU53" t="s">
        <v>415</v>
      </c>
      <c r="AV53" t="s">
        <v>76</v>
      </c>
    </row>
    <row r="54" spans="1:48" x14ac:dyDescent="0.35">
      <c r="A54" t="s">
        <v>613</v>
      </c>
      <c r="B54" t="s">
        <v>49</v>
      </c>
      <c r="C54" t="s">
        <v>614</v>
      </c>
      <c r="D54" t="s">
        <v>613</v>
      </c>
      <c r="E54" t="s">
        <v>615</v>
      </c>
      <c r="F54" t="s">
        <v>616</v>
      </c>
      <c r="G54" t="s">
        <v>617</v>
      </c>
      <c r="H54" t="s">
        <v>618</v>
      </c>
      <c r="I54" t="s">
        <v>619</v>
      </c>
      <c r="J54" t="s">
        <v>620</v>
      </c>
      <c r="K54" t="s">
        <v>55</v>
      </c>
      <c r="L54" t="s">
        <v>49</v>
      </c>
      <c r="M54" t="s">
        <v>56</v>
      </c>
      <c r="N54">
        <v>0.96256348963502236</v>
      </c>
      <c r="O54">
        <v>-0.91247494487501168</v>
      </c>
      <c r="P54">
        <v>-1.528678060349407</v>
      </c>
      <c r="Q54">
        <v>11.500390246512088</v>
      </c>
      <c r="R54">
        <v>1.0607125776606732</v>
      </c>
      <c r="S54">
        <v>0.59690458608822383</v>
      </c>
      <c r="T54">
        <v>26.600436894806169</v>
      </c>
      <c r="U54">
        <v>7.5814927247295175E-2</v>
      </c>
      <c r="V54">
        <v>0.18876600076123784</v>
      </c>
      <c r="W54">
        <v>0.7325292593535333</v>
      </c>
      <c r="X54">
        <v>0.11938091721764477</v>
      </c>
      <c r="Y54">
        <v>0.129</v>
      </c>
      <c r="Z54" t="s">
        <v>57</v>
      </c>
      <c r="AA54" t="s">
        <v>383</v>
      </c>
      <c r="AB54" t="s">
        <v>383</v>
      </c>
      <c r="AC54" t="s">
        <v>384</v>
      </c>
      <c r="AD54" t="s">
        <v>60</v>
      </c>
      <c r="AE54" t="s">
        <v>198</v>
      </c>
      <c r="AF54">
        <v>20</v>
      </c>
      <c r="AG54" t="s">
        <v>62</v>
      </c>
      <c r="AH54" t="s">
        <v>63</v>
      </c>
      <c r="AI54" t="s">
        <v>371</v>
      </c>
      <c r="AJ54" t="s">
        <v>65</v>
      </c>
      <c r="AK54" t="s">
        <v>621</v>
      </c>
      <c r="AL54" t="s">
        <v>622</v>
      </c>
      <c r="AM54">
        <v>1000</v>
      </c>
      <c r="AN54" t="s">
        <v>155</v>
      </c>
      <c r="AO54" t="s">
        <v>156</v>
      </c>
      <c r="AP54" t="s">
        <v>387</v>
      </c>
      <c r="AQ54" t="s">
        <v>158</v>
      </c>
      <c r="AR54" t="s">
        <v>72</v>
      </c>
      <c r="AS54" t="s">
        <v>388</v>
      </c>
      <c r="AT54" t="s">
        <v>74</v>
      </c>
      <c r="AU54" t="s">
        <v>405</v>
      </c>
      <c r="AV54" t="s">
        <v>76</v>
      </c>
    </row>
    <row r="55" spans="1:48" x14ac:dyDescent="0.35">
      <c r="A55" t="s">
        <v>623</v>
      </c>
      <c r="B55" t="s">
        <v>493</v>
      </c>
      <c r="C55" t="s">
        <v>624</v>
      </c>
      <c r="D55" t="s">
        <v>623</v>
      </c>
      <c r="E55" t="s">
        <v>625</v>
      </c>
      <c r="F55" t="s">
        <v>626</v>
      </c>
      <c r="G55" t="s">
        <v>49</v>
      </c>
      <c r="H55" t="s">
        <v>49</v>
      </c>
      <c r="I55" t="s">
        <v>49</v>
      </c>
      <c r="J55" t="s">
        <v>49</v>
      </c>
      <c r="K55" t="s">
        <v>55</v>
      </c>
      <c r="L55" t="s">
        <v>49</v>
      </c>
      <c r="M55" t="s">
        <v>56</v>
      </c>
      <c r="N55">
        <v>0.99948098040665334</v>
      </c>
      <c r="O55">
        <v>-50.346123377679803</v>
      </c>
      <c r="P55">
        <v>-1.9854674745442737</v>
      </c>
      <c r="Q55">
        <v>13.860254921507567</v>
      </c>
      <c r="R55">
        <v>1.141771218009261</v>
      </c>
      <c r="S55">
        <v>25.357314598787774</v>
      </c>
      <c r="T55">
        <v>14.007153752237373</v>
      </c>
      <c r="U55">
        <v>2.1068016240061285</v>
      </c>
      <c r="V55">
        <v>24.034765113638226</v>
      </c>
      <c r="W55">
        <v>12.975900934189038</v>
      </c>
      <c r="X55">
        <v>8.4524381995959246</v>
      </c>
      <c r="Y55">
        <v>0.3</v>
      </c>
      <c r="Z55" t="s">
        <v>57</v>
      </c>
      <c r="AA55" t="s">
        <v>542</v>
      </c>
      <c r="AB55" t="s">
        <v>542</v>
      </c>
      <c r="AC55" t="s">
        <v>543</v>
      </c>
      <c r="AD55" t="s">
        <v>544</v>
      </c>
      <c r="AE55" t="s">
        <v>117</v>
      </c>
      <c r="AF55">
        <v>20</v>
      </c>
      <c r="AG55" t="s">
        <v>62</v>
      </c>
      <c r="AH55" t="s">
        <v>185</v>
      </c>
      <c r="AI55" t="s">
        <v>545</v>
      </c>
      <c r="AJ55" t="s">
        <v>401</v>
      </c>
      <c r="AK55" t="s">
        <v>627</v>
      </c>
      <c r="AL55" t="s">
        <v>628</v>
      </c>
      <c r="AM55">
        <v>1000</v>
      </c>
      <c r="AN55" t="s">
        <v>548</v>
      </c>
      <c r="AO55" t="s">
        <v>549</v>
      </c>
      <c r="AP55" t="s">
        <v>550</v>
      </c>
      <c r="AQ55" t="s">
        <v>629</v>
      </c>
      <c r="AR55" t="s">
        <v>630</v>
      </c>
      <c r="AS55" t="s">
        <v>553</v>
      </c>
      <c r="AT55" t="s">
        <v>554</v>
      </c>
      <c r="AU55" t="s">
        <v>555</v>
      </c>
      <c r="AV55" t="s">
        <v>76</v>
      </c>
    </row>
    <row r="56" spans="1:48" x14ac:dyDescent="0.35">
      <c r="A56" t="s">
        <v>631</v>
      </c>
      <c r="B56" t="s">
        <v>49</v>
      </c>
      <c r="C56" t="s">
        <v>632</v>
      </c>
      <c r="D56" t="s">
        <v>631</v>
      </c>
      <c r="E56" t="s">
        <v>633</v>
      </c>
      <c r="F56" t="s">
        <v>634</v>
      </c>
      <c r="G56" t="s">
        <v>635</v>
      </c>
      <c r="H56" t="s">
        <v>636</v>
      </c>
      <c r="I56" t="str">
        <f>HYPERLINK("https://www.ncbi.nlm.nih.gov/gene/7124", "https://www.ncbi.nlm.nih.gov/gene/7124")</f>
        <v>https://www.ncbi.nlm.nih.gov/gene/7124</v>
      </c>
      <c r="J56" t="s">
        <v>637</v>
      </c>
      <c r="K56" t="s">
        <v>55</v>
      </c>
      <c r="L56" t="s">
        <v>49</v>
      </c>
      <c r="M56" t="s">
        <v>56</v>
      </c>
      <c r="N56">
        <v>0.90301513909057807</v>
      </c>
      <c r="O56">
        <v>0.2289811238498953</v>
      </c>
      <c r="P56">
        <v>1.3378810053509318</v>
      </c>
      <c r="Q56">
        <v>5.9527544333312736</v>
      </c>
      <c r="R56">
        <v>0.77471796713954166</v>
      </c>
      <c r="S56">
        <v>0.17115208522587</v>
      </c>
      <c r="T56">
        <v>22.73838623522154</v>
      </c>
      <c r="U56">
        <v>2.7849540592883727E-2</v>
      </c>
      <c r="V56">
        <v>0.64732540005589068</v>
      </c>
      <c r="W56">
        <v>600</v>
      </c>
      <c r="X56">
        <v>5.7050695075290002E-2</v>
      </c>
      <c r="Y56">
        <v>60</v>
      </c>
      <c r="Z56" t="s">
        <v>57</v>
      </c>
      <c r="AA56" t="s">
        <v>430</v>
      </c>
      <c r="AB56" t="s">
        <v>430</v>
      </c>
      <c r="AC56" t="s">
        <v>431</v>
      </c>
      <c r="AD56" t="s">
        <v>432</v>
      </c>
      <c r="AE56" t="s">
        <v>510</v>
      </c>
      <c r="AF56">
        <v>20</v>
      </c>
      <c r="AG56" t="s">
        <v>62</v>
      </c>
      <c r="AH56" t="s">
        <v>63</v>
      </c>
      <c r="AI56" t="s">
        <v>511</v>
      </c>
      <c r="AJ56" t="s">
        <v>512</v>
      </c>
      <c r="AK56" t="s">
        <v>513</v>
      </c>
      <c r="AL56" t="s">
        <v>638</v>
      </c>
      <c r="AM56">
        <v>1000</v>
      </c>
      <c r="AN56" t="s">
        <v>489</v>
      </c>
      <c r="AO56" t="s">
        <v>156</v>
      </c>
      <c r="AP56" t="s">
        <v>172</v>
      </c>
      <c r="AQ56" t="s">
        <v>639</v>
      </c>
      <c r="AR56" t="s">
        <v>640</v>
      </c>
      <c r="AS56" t="s">
        <v>641</v>
      </c>
      <c r="AT56" t="s">
        <v>491</v>
      </c>
      <c r="AU56" t="s">
        <v>517</v>
      </c>
      <c r="AV56" t="s">
        <v>76</v>
      </c>
    </row>
    <row r="57" spans="1:48" x14ac:dyDescent="0.35">
      <c r="A57" t="s">
        <v>642</v>
      </c>
      <c r="B57" t="s">
        <v>49</v>
      </c>
      <c r="C57" t="s">
        <v>643</v>
      </c>
      <c r="D57" t="s">
        <v>642</v>
      </c>
      <c r="E57" t="s">
        <v>644</v>
      </c>
      <c r="F57" t="s">
        <v>645</v>
      </c>
      <c r="G57" t="s">
        <v>646</v>
      </c>
      <c r="H57" t="s">
        <v>410</v>
      </c>
      <c r="I57" t="str">
        <f>HYPERLINK("https://www.ncbi.nlm.nih.gov/gene/2099", "https://www.ncbi.nlm.nih.gov/gene/2099")</f>
        <v>https://www.ncbi.nlm.nih.gov/gene/2099</v>
      </c>
      <c r="J57" t="s">
        <v>411</v>
      </c>
      <c r="K57" t="s">
        <v>55</v>
      </c>
      <c r="L57" t="s">
        <v>49</v>
      </c>
      <c r="M57" t="s">
        <v>56</v>
      </c>
      <c r="N57">
        <v>0.99999562849777757</v>
      </c>
      <c r="O57">
        <v>1.9190078476859309</v>
      </c>
      <c r="P57">
        <v>3.0694944307572265</v>
      </c>
      <c r="Q57">
        <v>26.554627664757469</v>
      </c>
      <c r="R57">
        <v>1.424140216345444</v>
      </c>
      <c r="S57">
        <v>0.62518694559498611</v>
      </c>
      <c r="T57">
        <v>12.651243460186761</v>
      </c>
      <c r="U57">
        <v>2.8270934480501264</v>
      </c>
      <c r="V57">
        <v>0.65523201106297779</v>
      </c>
      <c r="W57">
        <v>13.593065746530874</v>
      </c>
      <c r="X57">
        <v>0.20839564853166204</v>
      </c>
      <c r="Y57">
        <v>200</v>
      </c>
      <c r="Z57" t="s">
        <v>57</v>
      </c>
      <c r="AA57" t="s">
        <v>383</v>
      </c>
      <c r="AB57" t="s">
        <v>383</v>
      </c>
      <c r="AC57" t="s">
        <v>384</v>
      </c>
      <c r="AD57" t="s">
        <v>60</v>
      </c>
      <c r="AE57" t="s">
        <v>198</v>
      </c>
      <c r="AF57">
        <v>20</v>
      </c>
      <c r="AG57" t="s">
        <v>62</v>
      </c>
      <c r="AH57" t="s">
        <v>63</v>
      </c>
      <c r="AI57" t="s">
        <v>371</v>
      </c>
      <c r="AJ57" t="s">
        <v>65</v>
      </c>
      <c r="AK57" t="s">
        <v>647</v>
      </c>
      <c r="AL57" t="s">
        <v>648</v>
      </c>
      <c r="AM57">
        <v>1000</v>
      </c>
      <c r="AN57" t="s">
        <v>155</v>
      </c>
      <c r="AO57" t="s">
        <v>156</v>
      </c>
      <c r="AP57" t="s">
        <v>387</v>
      </c>
      <c r="AQ57" t="s">
        <v>414</v>
      </c>
      <c r="AR57" t="s">
        <v>72</v>
      </c>
      <c r="AS57" t="s">
        <v>388</v>
      </c>
      <c r="AT57" t="s">
        <v>74</v>
      </c>
      <c r="AU57" t="s">
        <v>415</v>
      </c>
      <c r="AV57" t="s">
        <v>76</v>
      </c>
    </row>
    <row r="58" spans="1:48" x14ac:dyDescent="0.35">
      <c r="A58" t="s">
        <v>649</v>
      </c>
      <c r="B58" t="s">
        <v>650</v>
      </c>
      <c r="C58" t="s">
        <v>651</v>
      </c>
      <c r="D58" t="s">
        <v>649</v>
      </c>
      <c r="E58" t="s">
        <v>652</v>
      </c>
      <c r="F58" t="s">
        <v>653</v>
      </c>
      <c r="G58" t="s">
        <v>49</v>
      </c>
      <c r="H58" t="s">
        <v>654</v>
      </c>
      <c r="I58" t="str">
        <f>HYPERLINK("https://www.ncbi.nlm.nih.gov/gene/7276", "https://www.ncbi.nlm.nih.gov/gene/7276")</f>
        <v>https://www.ncbi.nlm.nih.gov/gene/7276</v>
      </c>
      <c r="J58" t="s">
        <v>655</v>
      </c>
      <c r="K58" t="s">
        <v>55</v>
      </c>
      <c r="L58" t="s">
        <v>49</v>
      </c>
      <c r="M58" t="s">
        <v>56</v>
      </c>
      <c r="N58">
        <v>1</v>
      </c>
      <c r="O58">
        <v>104.18946169718006</v>
      </c>
      <c r="P58">
        <v>5.2094730848590034</v>
      </c>
      <c r="Q58">
        <v>0.15942414733818816</v>
      </c>
      <c r="R58">
        <v>-0.79744589710884328</v>
      </c>
      <c r="S58">
        <v>20</v>
      </c>
      <c r="T58">
        <v>3.4836652761055457E-2</v>
      </c>
      <c r="U58">
        <v>1.5589636597974153E-2</v>
      </c>
      <c r="V58">
        <v>9.3211441588378197</v>
      </c>
      <c r="W58">
        <v>1.3687417929940975E-2</v>
      </c>
      <c r="X58">
        <v>7.276933288136922</v>
      </c>
      <c r="Y58">
        <v>67.5</v>
      </c>
      <c r="Z58" t="s">
        <v>57</v>
      </c>
      <c r="AA58" t="s">
        <v>656</v>
      </c>
      <c r="AB58" t="s">
        <v>656</v>
      </c>
      <c r="AC58" t="s">
        <v>657</v>
      </c>
      <c r="AD58" t="s">
        <v>149</v>
      </c>
      <c r="AE58" t="s">
        <v>61</v>
      </c>
      <c r="AF58">
        <v>20</v>
      </c>
      <c r="AG58" t="s">
        <v>62</v>
      </c>
      <c r="AH58" t="s">
        <v>63</v>
      </c>
      <c r="AI58" t="s">
        <v>151</v>
      </c>
      <c r="AJ58" t="s">
        <v>152</v>
      </c>
      <c r="AK58" t="s">
        <v>658</v>
      </c>
      <c r="AL58" t="s">
        <v>659</v>
      </c>
      <c r="AM58">
        <v>1000</v>
      </c>
      <c r="AN58" t="s">
        <v>364</v>
      </c>
      <c r="AO58" t="s">
        <v>156</v>
      </c>
      <c r="AP58" t="s">
        <v>364</v>
      </c>
      <c r="AQ58" t="s">
        <v>660</v>
      </c>
      <c r="AR58" t="s">
        <v>159</v>
      </c>
      <c r="AS58" t="s">
        <v>661</v>
      </c>
      <c r="AT58" t="s">
        <v>151</v>
      </c>
      <c r="AU58" t="s">
        <v>662</v>
      </c>
      <c r="AV58" t="s">
        <v>76</v>
      </c>
    </row>
    <row r="59" spans="1:48" x14ac:dyDescent="0.35">
      <c r="A59" t="s">
        <v>663</v>
      </c>
      <c r="B59" t="s">
        <v>49</v>
      </c>
      <c r="C59" t="s">
        <v>664</v>
      </c>
      <c r="D59" t="s">
        <v>663</v>
      </c>
      <c r="E59" t="s">
        <v>665</v>
      </c>
      <c r="F59" t="s">
        <v>666</v>
      </c>
      <c r="G59" t="s">
        <v>49</v>
      </c>
      <c r="H59" t="s">
        <v>49</v>
      </c>
      <c r="I59" t="s">
        <v>49</v>
      </c>
      <c r="J59" t="s">
        <v>49</v>
      </c>
      <c r="K59" t="s">
        <v>55</v>
      </c>
      <c r="L59" t="s">
        <v>49</v>
      </c>
      <c r="M59" t="s">
        <v>56</v>
      </c>
      <c r="N59">
        <v>0.99999815952498272</v>
      </c>
      <c r="O59">
        <v>-1.3572441484566162</v>
      </c>
      <c r="P59">
        <v>-1.8626727697403003</v>
      </c>
      <c r="Q59">
        <v>116.02297740232274</v>
      </c>
      <c r="R59">
        <v>2.0645440062169733</v>
      </c>
      <c r="S59">
        <v>0.72865409883339172</v>
      </c>
      <c r="T59">
        <v>120.05262473034951</v>
      </c>
      <c r="U59">
        <v>69.822196027735373</v>
      </c>
      <c r="V59">
        <v>0.22938316003146919</v>
      </c>
      <c r="W59">
        <v>80.292568133139881</v>
      </c>
      <c r="X59">
        <v>7.2865409883339172E-2</v>
      </c>
      <c r="Y59">
        <v>0.39100000000000001</v>
      </c>
      <c r="Z59" t="s">
        <v>57</v>
      </c>
      <c r="AA59" t="s">
        <v>667</v>
      </c>
      <c r="AB59" t="s">
        <v>667</v>
      </c>
      <c r="AC59" t="s">
        <v>668</v>
      </c>
      <c r="AD59" t="s">
        <v>432</v>
      </c>
      <c r="AE59" t="s">
        <v>198</v>
      </c>
      <c r="AF59">
        <v>20</v>
      </c>
      <c r="AG59" t="s">
        <v>62</v>
      </c>
      <c r="AH59" t="s">
        <v>63</v>
      </c>
      <c r="AI59" t="s">
        <v>371</v>
      </c>
      <c r="AJ59" t="s">
        <v>65</v>
      </c>
      <c r="AK59" t="s">
        <v>669</v>
      </c>
      <c r="AL59" t="s">
        <v>670</v>
      </c>
      <c r="AM59">
        <v>1000</v>
      </c>
      <c r="AN59" t="s">
        <v>671</v>
      </c>
      <c r="AO59" t="s">
        <v>136</v>
      </c>
      <c r="AP59" t="s">
        <v>672</v>
      </c>
      <c r="AQ59" t="s">
        <v>673</v>
      </c>
      <c r="AR59" t="s">
        <v>674</v>
      </c>
      <c r="AS59" t="s">
        <v>503</v>
      </c>
      <c r="AT59" t="s">
        <v>74</v>
      </c>
      <c r="AU59" t="s">
        <v>405</v>
      </c>
      <c r="AV59" t="s">
        <v>76</v>
      </c>
    </row>
    <row r="60" spans="1:48" x14ac:dyDescent="0.35">
      <c r="A60" t="s">
        <v>675</v>
      </c>
      <c r="B60" t="s">
        <v>49</v>
      </c>
      <c r="C60" t="s">
        <v>676</v>
      </c>
      <c r="D60" t="s">
        <v>675</v>
      </c>
      <c r="E60" t="s">
        <v>677</v>
      </c>
      <c r="F60" t="s">
        <v>678</v>
      </c>
      <c r="G60" t="s">
        <v>679</v>
      </c>
      <c r="H60" t="s">
        <v>680</v>
      </c>
      <c r="I60" t="str">
        <f>HYPERLINK("https://www.ncbi.nlm.nih.gov/gene/3576", "https://www.ncbi.nlm.nih.gov/gene/3576")</f>
        <v>https://www.ncbi.nlm.nih.gov/gene/3576</v>
      </c>
      <c r="J60" t="s">
        <v>681</v>
      </c>
      <c r="K60" t="s">
        <v>55</v>
      </c>
      <c r="L60" t="s">
        <v>49</v>
      </c>
      <c r="M60" t="s">
        <v>56</v>
      </c>
      <c r="N60">
        <v>0.99957472477309461</v>
      </c>
      <c r="O60">
        <v>0.21280489445772025</v>
      </c>
      <c r="P60">
        <v>1.7755817575239032</v>
      </c>
      <c r="Q60">
        <v>20.515386003143441</v>
      </c>
      <c r="R60">
        <v>1.3120796927607961</v>
      </c>
      <c r="S60">
        <v>0.11985080019885</v>
      </c>
      <c r="T60">
        <v>23.716168898185717</v>
      </c>
      <c r="U60">
        <v>3.6139963760851486</v>
      </c>
      <c r="V60">
        <v>5.7352706053613138E-2</v>
      </c>
      <c r="W60">
        <v>10.215651769247236</v>
      </c>
      <c r="X60">
        <v>3.9950266732949997E-2</v>
      </c>
      <c r="Y60">
        <v>60</v>
      </c>
      <c r="Z60" t="s">
        <v>57</v>
      </c>
      <c r="AA60" t="s">
        <v>430</v>
      </c>
      <c r="AB60" t="s">
        <v>430</v>
      </c>
      <c r="AC60" t="s">
        <v>431</v>
      </c>
      <c r="AD60" t="s">
        <v>432</v>
      </c>
      <c r="AE60" t="s">
        <v>433</v>
      </c>
      <c r="AF60">
        <v>20</v>
      </c>
      <c r="AG60" t="s">
        <v>62</v>
      </c>
      <c r="AH60" t="s">
        <v>63</v>
      </c>
      <c r="AI60" t="s">
        <v>486</v>
      </c>
      <c r="AJ60" t="s">
        <v>401</v>
      </c>
      <c r="AK60" t="s">
        <v>682</v>
      </c>
      <c r="AL60" t="s">
        <v>683</v>
      </c>
      <c r="AM60">
        <v>1000</v>
      </c>
      <c r="AN60" t="s">
        <v>489</v>
      </c>
      <c r="AO60" t="s">
        <v>156</v>
      </c>
      <c r="AP60" t="s">
        <v>172</v>
      </c>
      <c r="AQ60" t="s">
        <v>490</v>
      </c>
      <c r="AR60" t="s">
        <v>438</v>
      </c>
      <c r="AS60" t="s">
        <v>439</v>
      </c>
      <c r="AT60" t="s">
        <v>491</v>
      </c>
      <c r="AU60" t="s">
        <v>517</v>
      </c>
      <c r="AV60" t="s">
        <v>76</v>
      </c>
    </row>
    <row r="61" spans="1:48" x14ac:dyDescent="0.35">
      <c r="A61" t="s">
        <v>684</v>
      </c>
      <c r="B61" t="s">
        <v>377</v>
      </c>
      <c r="C61" t="s">
        <v>685</v>
      </c>
      <c r="D61" t="s">
        <v>684</v>
      </c>
      <c r="E61" t="s">
        <v>686</v>
      </c>
      <c r="F61" t="s">
        <v>687</v>
      </c>
      <c r="G61" t="s">
        <v>49</v>
      </c>
      <c r="H61" t="s">
        <v>688</v>
      </c>
      <c r="I61" t="str">
        <f>HYPERLINK("https://www.ncbi.nlm.nih.gov/gene/100125505", "https://www.ncbi.nlm.nih.gov/gene/100125505")</f>
        <v>https://www.ncbi.nlm.nih.gov/gene/100125505</v>
      </c>
      <c r="J61" t="s">
        <v>689</v>
      </c>
      <c r="K61" t="s">
        <v>55</v>
      </c>
      <c r="L61" t="s">
        <v>49</v>
      </c>
      <c r="M61" t="s">
        <v>56</v>
      </c>
      <c r="N61">
        <v>0.99999999992729693</v>
      </c>
      <c r="O61">
        <v>3.0362158576530884</v>
      </c>
      <c r="P61">
        <v>4.835366444832184</v>
      </c>
      <c r="Q61">
        <v>31.412647769888114</v>
      </c>
      <c r="R61">
        <v>1.4971045445929461</v>
      </c>
      <c r="S61">
        <v>0.62791846125706885</v>
      </c>
      <c r="T61">
        <v>11.856549716219712</v>
      </c>
      <c r="U61">
        <v>5.5764594219520172</v>
      </c>
      <c r="V61">
        <v>0.81781521568657745</v>
      </c>
      <c r="W61">
        <v>15.713255842546378</v>
      </c>
      <c r="X61">
        <v>0.20930615375235628</v>
      </c>
      <c r="Y61">
        <v>150</v>
      </c>
      <c r="Z61" t="s">
        <v>57</v>
      </c>
      <c r="AA61" t="s">
        <v>383</v>
      </c>
      <c r="AB61" t="s">
        <v>383</v>
      </c>
      <c r="AC61" t="s">
        <v>384</v>
      </c>
      <c r="AD61" t="s">
        <v>60</v>
      </c>
      <c r="AE61" t="s">
        <v>61</v>
      </c>
      <c r="AF61">
        <v>20</v>
      </c>
      <c r="AG61" t="s">
        <v>62</v>
      </c>
      <c r="AH61" t="s">
        <v>63</v>
      </c>
      <c r="AI61" t="s">
        <v>371</v>
      </c>
      <c r="AJ61" t="s">
        <v>65</v>
      </c>
      <c r="AK61" t="s">
        <v>690</v>
      </c>
      <c r="AL61" t="s">
        <v>691</v>
      </c>
      <c r="AM61">
        <v>1000</v>
      </c>
      <c r="AN61" t="s">
        <v>155</v>
      </c>
      <c r="AO61" t="s">
        <v>156</v>
      </c>
      <c r="AP61" t="s">
        <v>387</v>
      </c>
      <c r="AQ61" t="s">
        <v>158</v>
      </c>
      <c r="AR61" t="s">
        <v>72</v>
      </c>
      <c r="AS61" t="s">
        <v>388</v>
      </c>
      <c r="AT61" t="s">
        <v>74</v>
      </c>
      <c r="AU61" t="s">
        <v>389</v>
      </c>
      <c r="AV61" t="s">
        <v>76</v>
      </c>
    </row>
    <row r="62" spans="1:48" x14ac:dyDescent="0.35">
      <c r="A62" t="s">
        <v>692</v>
      </c>
      <c r="B62" t="s">
        <v>128</v>
      </c>
      <c r="C62" t="s">
        <v>693</v>
      </c>
      <c r="D62" t="s">
        <v>692</v>
      </c>
      <c r="E62" t="s">
        <v>694</v>
      </c>
      <c r="F62" t="s">
        <v>695</v>
      </c>
      <c r="G62" t="s">
        <v>49</v>
      </c>
      <c r="H62" t="s">
        <v>49</v>
      </c>
      <c r="I62" t="s">
        <v>49</v>
      </c>
      <c r="J62" t="s">
        <v>49</v>
      </c>
      <c r="K62">
        <v>263</v>
      </c>
      <c r="L62">
        <v>1771</v>
      </c>
      <c r="M62" t="s">
        <v>56</v>
      </c>
      <c r="N62">
        <v>0.99879197644441253</v>
      </c>
      <c r="O62">
        <v>-37.369037719819104</v>
      </c>
      <c r="P62">
        <v>-1.7735693983540155</v>
      </c>
      <c r="Q62">
        <v>32.823384439935921</v>
      </c>
      <c r="R62">
        <v>1.5161833594046932</v>
      </c>
      <c r="S62">
        <v>21.069960811513738</v>
      </c>
      <c r="T62">
        <v>35.627372604428558</v>
      </c>
      <c r="U62">
        <v>16.274537075918744</v>
      </c>
      <c r="V62">
        <v>6.8462539372083189</v>
      </c>
      <c r="W62">
        <v>20.366348181403264</v>
      </c>
      <c r="X62">
        <v>3.5116601352522898</v>
      </c>
      <c r="Y62">
        <v>1.6454162887096799</v>
      </c>
      <c r="Z62" t="s">
        <v>57</v>
      </c>
      <c r="AA62" t="s">
        <v>114</v>
      </c>
      <c r="AB62" t="s">
        <v>114</v>
      </c>
      <c r="AC62" t="s">
        <v>115</v>
      </c>
      <c r="AD62" t="s">
        <v>131</v>
      </c>
      <c r="AE62" t="s">
        <v>117</v>
      </c>
      <c r="AF62">
        <v>20</v>
      </c>
      <c r="AG62" t="s">
        <v>62</v>
      </c>
      <c r="AH62" t="s">
        <v>63</v>
      </c>
      <c r="AI62" t="s">
        <v>118</v>
      </c>
      <c r="AJ62" t="s">
        <v>65</v>
      </c>
      <c r="AK62" t="s">
        <v>696</v>
      </c>
      <c r="AL62" t="s">
        <v>697</v>
      </c>
      <c r="AM62">
        <v>1000</v>
      </c>
      <c r="AN62" t="s">
        <v>135</v>
      </c>
      <c r="AO62" t="s">
        <v>136</v>
      </c>
      <c r="AP62" t="s">
        <v>136</v>
      </c>
      <c r="AQ62" t="s">
        <v>137</v>
      </c>
      <c r="AR62" t="s">
        <v>138</v>
      </c>
      <c r="AS62" t="s">
        <v>139</v>
      </c>
      <c r="AT62" t="s">
        <v>125</v>
      </c>
      <c r="AU62" t="s">
        <v>126</v>
      </c>
      <c r="AV62" t="s">
        <v>76</v>
      </c>
    </row>
    <row r="63" spans="1:48" x14ac:dyDescent="0.35">
      <c r="A63" t="s">
        <v>698</v>
      </c>
      <c r="B63" t="s">
        <v>49</v>
      </c>
      <c r="C63" t="s">
        <v>699</v>
      </c>
      <c r="D63" t="s">
        <v>698</v>
      </c>
      <c r="E63" t="s">
        <v>700</v>
      </c>
      <c r="F63" t="s">
        <v>701</v>
      </c>
      <c r="G63" t="s">
        <v>144</v>
      </c>
      <c r="H63" t="s">
        <v>145</v>
      </c>
      <c r="I63" t="str">
        <f>HYPERLINK("https://www.ncbi.nlm.nih.gov/gene/5465", "https://www.ncbi.nlm.nih.gov/gene/5465")</f>
        <v>https://www.ncbi.nlm.nih.gov/gene/5465</v>
      </c>
      <c r="J63" t="s">
        <v>146</v>
      </c>
      <c r="K63" t="s">
        <v>55</v>
      </c>
      <c r="L63" t="s">
        <v>49</v>
      </c>
      <c r="M63" t="s">
        <v>56</v>
      </c>
      <c r="N63">
        <v>0.99999999999967082</v>
      </c>
      <c r="O63">
        <v>3.3072071106042991</v>
      </c>
      <c r="P63">
        <v>4.0661812624331573</v>
      </c>
      <c r="Q63">
        <v>11.385614803899562</v>
      </c>
      <c r="R63">
        <v>1.0563564867501927</v>
      </c>
      <c r="S63">
        <v>0.81334473235590665</v>
      </c>
      <c r="T63">
        <v>4.9389173697149005</v>
      </c>
      <c r="U63">
        <v>2.213274488569946</v>
      </c>
      <c r="V63">
        <v>0.97812799770962777</v>
      </c>
      <c r="W63">
        <v>5.9633034948390442</v>
      </c>
      <c r="X63">
        <v>0.2711149107853022</v>
      </c>
      <c r="Y63">
        <v>150</v>
      </c>
      <c r="Z63" t="s">
        <v>57</v>
      </c>
      <c r="AA63" t="s">
        <v>383</v>
      </c>
      <c r="AB63" t="s">
        <v>383</v>
      </c>
      <c r="AC63" t="s">
        <v>384</v>
      </c>
      <c r="AD63" t="s">
        <v>60</v>
      </c>
      <c r="AE63" t="s">
        <v>61</v>
      </c>
      <c r="AF63">
        <v>20</v>
      </c>
      <c r="AG63" t="s">
        <v>62</v>
      </c>
      <c r="AH63" t="s">
        <v>63</v>
      </c>
      <c r="AI63" t="s">
        <v>371</v>
      </c>
      <c r="AJ63" t="s">
        <v>65</v>
      </c>
      <c r="AK63" t="s">
        <v>702</v>
      </c>
      <c r="AL63" t="s">
        <v>703</v>
      </c>
      <c r="AM63">
        <v>1000</v>
      </c>
      <c r="AN63" t="s">
        <v>155</v>
      </c>
      <c r="AO63" t="s">
        <v>156</v>
      </c>
      <c r="AP63" t="s">
        <v>387</v>
      </c>
      <c r="AQ63" t="s">
        <v>158</v>
      </c>
      <c r="AR63" t="s">
        <v>72</v>
      </c>
      <c r="AS63" t="s">
        <v>388</v>
      </c>
      <c r="AT63" t="s">
        <v>74</v>
      </c>
      <c r="AU63" t="s">
        <v>389</v>
      </c>
      <c r="AV63" t="s">
        <v>76</v>
      </c>
    </row>
    <row r="64" spans="1:48" x14ac:dyDescent="0.35">
      <c r="A64" t="s">
        <v>704</v>
      </c>
      <c r="B64" t="s">
        <v>705</v>
      </c>
      <c r="C64" t="s">
        <v>706</v>
      </c>
      <c r="D64" t="s">
        <v>704</v>
      </c>
      <c r="E64" t="s">
        <v>707</v>
      </c>
      <c r="F64" t="s">
        <v>708</v>
      </c>
      <c r="G64" t="s">
        <v>49</v>
      </c>
      <c r="H64" t="s">
        <v>49</v>
      </c>
      <c r="I64" t="s">
        <v>49</v>
      </c>
      <c r="J64" t="s">
        <v>49</v>
      </c>
      <c r="K64" t="s">
        <v>55</v>
      </c>
      <c r="L64" t="s">
        <v>49</v>
      </c>
      <c r="M64" t="s">
        <v>56</v>
      </c>
      <c r="N64">
        <v>0.99998246299568272</v>
      </c>
      <c r="O64">
        <v>16.832151914641795</v>
      </c>
      <c r="P64">
        <v>1.0520094946651122</v>
      </c>
      <c r="Q64">
        <v>1.7246942897660658</v>
      </c>
      <c r="R64">
        <v>0.23671212547661694</v>
      </c>
      <c r="S64">
        <v>16</v>
      </c>
      <c r="T64">
        <v>2.495742745648597</v>
      </c>
      <c r="U64">
        <v>1.3104845588496343</v>
      </c>
      <c r="V64">
        <v>21.584</v>
      </c>
      <c r="W64" t="s">
        <v>49</v>
      </c>
      <c r="X64">
        <v>5</v>
      </c>
      <c r="Y64">
        <v>3</v>
      </c>
      <c r="Z64" t="s">
        <v>57</v>
      </c>
      <c r="AA64" t="s">
        <v>709</v>
      </c>
      <c r="AB64" t="s">
        <v>709</v>
      </c>
      <c r="AC64" t="s">
        <v>710</v>
      </c>
      <c r="AD64" t="s">
        <v>711</v>
      </c>
      <c r="AE64" t="s">
        <v>712</v>
      </c>
      <c r="AF64">
        <v>20</v>
      </c>
      <c r="AG64" t="s">
        <v>62</v>
      </c>
      <c r="AH64" t="s">
        <v>713</v>
      </c>
      <c r="AI64" t="s">
        <v>151</v>
      </c>
      <c r="AJ64" t="s">
        <v>714</v>
      </c>
      <c r="AK64" t="s">
        <v>715</v>
      </c>
      <c r="AL64" t="s">
        <v>716</v>
      </c>
      <c r="AM64">
        <v>1000</v>
      </c>
      <c r="AN64" t="s">
        <v>717</v>
      </c>
      <c r="AO64" t="s">
        <v>718</v>
      </c>
      <c r="AP64" t="s">
        <v>719</v>
      </c>
      <c r="AQ64" t="s">
        <v>720</v>
      </c>
      <c r="AR64" t="s">
        <v>721</v>
      </c>
      <c r="AS64" t="s">
        <v>722</v>
      </c>
      <c r="AT64" t="s">
        <v>151</v>
      </c>
      <c r="AU64">
        <v>1210314640</v>
      </c>
      <c r="AV64" t="s">
        <v>76</v>
      </c>
    </row>
    <row r="65" spans="1:48" x14ac:dyDescent="0.35">
      <c r="A65" t="s">
        <v>723</v>
      </c>
      <c r="B65" t="s">
        <v>705</v>
      </c>
      <c r="C65" t="s">
        <v>724</v>
      </c>
      <c r="D65" t="s">
        <v>723</v>
      </c>
      <c r="E65" t="s">
        <v>725</v>
      </c>
      <c r="F65" t="s">
        <v>726</v>
      </c>
      <c r="G65" t="s">
        <v>49</v>
      </c>
      <c r="H65" t="s">
        <v>49</v>
      </c>
      <c r="I65" t="s">
        <v>49</v>
      </c>
      <c r="J65" t="s">
        <v>49</v>
      </c>
      <c r="K65" t="s">
        <v>55</v>
      </c>
      <c r="L65" t="s">
        <v>49</v>
      </c>
      <c r="M65" t="s">
        <v>56</v>
      </c>
      <c r="N65">
        <v>0.99998246299568272</v>
      </c>
      <c r="O65">
        <v>16.832151914641795</v>
      </c>
      <c r="P65">
        <v>1.0520094946651122</v>
      </c>
      <c r="Q65">
        <v>1.7246942897660658</v>
      </c>
      <c r="R65">
        <v>0.23671212547661694</v>
      </c>
      <c r="S65">
        <v>16</v>
      </c>
      <c r="T65">
        <v>2.495742745648597</v>
      </c>
      <c r="U65">
        <v>1.3104845588496343</v>
      </c>
      <c r="V65">
        <v>21.584</v>
      </c>
      <c r="W65" t="s">
        <v>49</v>
      </c>
      <c r="X65">
        <v>5</v>
      </c>
      <c r="Y65">
        <v>3</v>
      </c>
      <c r="Z65" t="s">
        <v>57</v>
      </c>
      <c r="AA65" t="s">
        <v>709</v>
      </c>
      <c r="AB65" t="s">
        <v>709</v>
      </c>
      <c r="AC65" t="s">
        <v>710</v>
      </c>
      <c r="AD65" t="s">
        <v>711</v>
      </c>
      <c r="AE65" t="s">
        <v>712</v>
      </c>
      <c r="AF65">
        <v>20</v>
      </c>
      <c r="AG65" t="s">
        <v>62</v>
      </c>
      <c r="AH65" t="s">
        <v>713</v>
      </c>
      <c r="AI65" t="s">
        <v>151</v>
      </c>
      <c r="AJ65" t="s">
        <v>714</v>
      </c>
      <c r="AK65" t="s">
        <v>727</v>
      </c>
      <c r="AL65" t="s">
        <v>728</v>
      </c>
      <c r="AM65">
        <v>1000</v>
      </c>
      <c r="AN65" t="s">
        <v>717</v>
      </c>
      <c r="AO65" t="s">
        <v>718</v>
      </c>
      <c r="AP65" t="s">
        <v>719</v>
      </c>
      <c r="AQ65" t="s">
        <v>729</v>
      </c>
      <c r="AR65" t="s">
        <v>721</v>
      </c>
      <c r="AS65" t="s">
        <v>722</v>
      </c>
      <c r="AT65" t="s">
        <v>151</v>
      </c>
      <c r="AU65">
        <v>1210314640</v>
      </c>
      <c r="AV65" t="s">
        <v>76</v>
      </c>
    </row>
    <row r="66" spans="1:48" x14ac:dyDescent="0.35">
      <c r="A66" t="s">
        <v>730</v>
      </c>
      <c r="B66" t="s">
        <v>493</v>
      </c>
      <c r="C66" t="s">
        <v>731</v>
      </c>
      <c r="D66" t="s">
        <v>730</v>
      </c>
      <c r="E66" t="s">
        <v>732</v>
      </c>
      <c r="F66" t="s">
        <v>733</v>
      </c>
      <c r="G66" t="s">
        <v>49</v>
      </c>
      <c r="H66" t="s">
        <v>49</v>
      </c>
      <c r="I66" t="s">
        <v>49</v>
      </c>
      <c r="J66" t="s">
        <v>49</v>
      </c>
      <c r="K66" t="s">
        <v>55</v>
      </c>
      <c r="L66" t="s">
        <v>49</v>
      </c>
      <c r="M66" t="s">
        <v>56</v>
      </c>
      <c r="N66">
        <v>0.99712590535651946</v>
      </c>
      <c r="O66">
        <v>-70.770679670150898</v>
      </c>
      <c r="P66">
        <v>-2.9696405696247155</v>
      </c>
      <c r="Q66">
        <v>898.97159641874487</v>
      </c>
      <c r="R66">
        <v>2.9537459701387041</v>
      </c>
      <c r="S66">
        <v>23.831395756791689</v>
      </c>
      <c r="T66">
        <v>841.41782358641558</v>
      </c>
      <c r="U66">
        <v>665.26235050234254</v>
      </c>
      <c r="V66">
        <v>9.9953174999619474</v>
      </c>
      <c r="W66">
        <v>715.21385896565664</v>
      </c>
      <c r="X66">
        <v>5.9578489391979224</v>
      </c>
      <c r="Y66">
        <v>333.33333333333331</v>
      </c>
      <c r="Z66" t="s">
        <v>57</v>
      </c>
      <c r="AA66" t="s">
        <v>497</v>
      </c>
      <c r="AB66" t="s">
        <v>497</v>
      </c>
      <c r="AC66" t="s">
        <v>498</v>
      </c>
      <c r="AD66" t="s">
        <v>711</v>
      </c>
      <c r="AE66" t="s">
        <v>61</v>
      </c>
      <c r="AF66">
        <v>20</v>
      </c>
      <c r="AG66" t="s">
        <v>62</v>
      </c>
      <c r="AH66" t="s">
        <v>63</v>
      </c>
      <c r="AI66" t="s">
        <v>499</v>
      </c>
      <c r="AJ66" t="s">
        <v>65</v>
      </c>
      <c r="AK66" t="s">
        <v>734</v>
      </c>
      <c r="AL66" t="s">
        <v>735</v>
      </c>
      <c r="AM66">
        <v>1000</v>
      </c>
      <c r="AN66" t="s">
        <v>548</v>
      </c>
      <c r="AO66" t="s">
        <v>136</v>
      </c>
      <c r="AP66" t="s">
        <v>136</v>
      </c>
      <c r="AQ66" t="s">
        <v>736</v>
      </c>
      <c r="AR66" t="s">
        <v>548</v>
      </c>
      <c r="AS66" t="s">
        <v>503</v>
      </c>
      <c r="AT66" t="s">
        <v>504</v>
      </c>
      <c r="AU66" t="s">
        <v>505</v>
      </c>
      <c r="AV66" t="s">
        <v>76</v>
      </c>
    </row>
    <row r="67" spans="1:48" x14ac:dyDescent="0.35">
      <c r="A67" t="s">
        <v>737</v>
      </c>
      <c r="B67" t="s">
        <v>49</v>
      </c>
      <c r="C67" t="s">
        <v>738</v>
      </c>
      <c r="D67" t="s">
        <v>737</v>
      </c>
      <c r="E67" t="s">
        <v>739</v>
      </c>
      <c r="F67" t="s">
        <v>740</v>
      </c>
      <c r="G67" t="s">
        <v>741</v>
      </c>
      <c r="H67" t="s">
        <v>742</v>
      </c>
      <c r="I67" t="str">
        <f>HYPERLINK("https://www.ncbi.nlm.nih.gov/gene/969", "https://www.ncbi.nlm.nih.gov/gene/969")</f>
        <v>https://www.ncbi.nlm.nih.gov/gene/969</v>
      </c>
      <c r="J67" t="s">
        <v>743</v>
      </c>
      <c r="K67" t="s">
        <v>55</v>
      </c>
      <c r="L67" t="s">
        <v>49</v>
      </c>
      <c r="M67" t="s">
        <v>56</v>
      </c>
      <c r="N67">
        <v>0.9999991517013529</v>
      </c>
      <c r="O67">
        <v>0.1393430648944701</v>
      </c>
      <c r="P67">
        <v>1.383861091674716</v>
      </c>
      <c r="Q67">
        <v>0.21997812874613876</v>
      </c>
      <c r="R67">
        <v>-0.65762049661890487</v>
      </c>
      <c r="S67">
        <v>0.1006915114044</v>
      </c>
      <c r="T67">
        <v>0.2475271404306929</v>
      </c>
      <c r="U67">
        <v>0.16728915126652424</v>
      </c>
      <c r="V67">
        <v>7.1355544815562139E-2</v>
      </c>
      <c r="W67">
        <v>0.22129990952050224</v>
      </c>
      <c r="X67">
        <v>3.3563837134799997E-2</v>
      </c>
      <c r="Y67">
        <v>2.2000000000000002</v>
      </c>
      <c r="Z67" t="s">
        <v>57</v>
      </c>
      <c r="AA67" t="s">
        <v>430</v>
      </c>
      <c r="AB67" t="s">
        <v>430</v>
      </c>
      <c r="AC67" t="s">
        <v>431</v>
      </c>
      <c r="AD67" t="s">
        <v>432</v>
      </c>
      <c r="AE67" t="s">
        <v>744</v>
      </c>
      <c r="AF67">
        <v>20</v>
      </c>
      <c r="AG67" t="s">
        <v>62</v>
      </c>
      <c r="AH67" t="s">
        <v>63</v>
      </c>
      <c r="AI67" t="s">
        <v>745</v>
      </c>
      <c r="AJ67" t="s">
        <v>512</v>
      </c>
      <c r="AK67" t="s">
        <v>513</v>
      </c>
      <c r="AL67" t="s">
        <v>746</v>
      </c>
      <c r="AM67">
        <v>1000</v>
      </c>
      <c r="AN67" t="s">
        <v>489</v>
      </c>
      <c r="AO67" t="s">
        <v>156</v>
      </c>
      <c r="AP67" t="s">
        <v>172</v>
      </c>
      <c r="AQ67" t="s">
        <v>639</v>
      </c>
      <c r="AR67" t="s">
        <v>438</v>
      </c>
      <c r="AS67" t="s">
        <v>439</v>
      </c>
      <c r="AT67" t="s">
        <v>491</v>
      </c>
      <c r="AU67" t="s">
        <v>517</v>
      </c>
      <c r="AV67" t="s">
        <v>76</v>
      </c>
    </row>
    <row r="68" spans="1:48" x14ac:dyDescent="0.35">
      <c r="A68" t="s">
        <v>747</v>
      </c>
      <c r="B68" t="s">
        <v>480</v>
      </c>
      <c r="C68" t="s">
        <v>748</v>
      </c>
      <c r="D68" t="s">
        <v>747</v>
      </c>
      <c r="E68" t="s">
        <v>749</v>
      </c>
      <c r="F68" t="s">
        <v>750</v>
      </c>
      <c r="G68" t="s">
        <v>49</v>
      </c>
      <c r="H68" t="s">
        <v>49</v>
      </c>
      <c r="I68" t="s">
        <v>49</v>
      </c>
      <c r="J68" t="s">
        <v>49</v>
      </c>
      <c r="K68" t="s">
        <v>55</v>
      </c>
      <c r="L68" t="s">
        <v>49</v>
      </c>
      <c r="M68" t="s">
        <v>56</v>
      </c>
      <c r="N68">
        <v>0.99999771391822656</v>
      </c>
      <c r="O68">
        <v>0.10660519681482516</v>
      </c>
      <c r="P68">
        <v>1.3463440162422524</v>
      </c>
      <c r="Q68">
        <v>24.006357376996412</v>
      </c>
      <c r="R68">
        <v>1.3803262670505785</v>
      </c>
      <c r="S68">
        <v>7.9181246047624818E-2</v>
      </c>
      <c r="T68">
        <v>34.634983566236997</v>
      </c>
      <c r="U68">
        <v>8.5955536332600158</v>
      </c>
      <c r="V68">
        <v>0.23922161359990632</v>
      </c>
      <c r="W68" t="s">
        <v>49</v>
      </c>
      <c r="X68">
        <v>2.5317587765399996E-2</v>
      </c>
      <c r="Y68">
        <v>60</v>
      </c>
      <c r="Z68" t="s">
        <v>57</v>
      </c>
      <c r="AA68" t="s">
        <v>430</v>
      </c>
      <c r="AB68" t="s">
        <v>430</v>
      </c>
      <c r="AC68" t="s">
        <v>431</v>
      </c>
      <c r="AD68" t="s">
        <v>131</v>
      </c>
      <c r="AE68" t="s">
        <v>433</v>
      </c>
      <c r="AF68">
        <v>20</v>
      </c>
      <c r="AG68" t="s">
        <v>62</v>
      </c>
      <c r="AH68" t="s">
        <v>63</v>
      </c>
      <c r="AI68" t="s">
        <v>511</v>
      </c>
      <c r="AJ68" t="s">
        <v>512</v>
      </c>
      <c r="AK68" t="s">
        <v>751</v>
      </c>
      <c r="AL68" t="s">
        <v>752</v>
      </c>
      <c r="AM68">
        <v>1000</v>
      </c>
      <c r="AN68" t="s">
        <v>135</v>
      </c>
      <c r="AO68" t="s">
        <v>136</v>
      </c>
      <c r="AP68" t="s">
        <v>136</v>
      </c>
      <c r="AQ68" t="s">
        <v>753</v>
      </c>
      <c r="AR68" t="s">
        <v>138</v>
      </c>
      <c r="AS68" t="s">
        <v>754</v>
      </c>
      <c r="AT68" t="s">
        <v>491</v>
      </c>
      <c r="AU68" t="s">
        <v>517</v>
      </c>
      <c r="AV68" t="s">
        <v>76</v>
      </c>
    </row>
    <row r="69" spans="1:48" x14ac:dyDescent="0.35">
      <c r="A69" t="s">
        <v>755</v>
      </c>
      <c r="B69" t="s">
        <v>49</v>
      </c>
      <c r="C69" t="s">
        <v>756</v>
      </c>
      <c r="D69" t="s">
        <v>755</v>
      </c>
      <c r="E69" t="s">
        <v>757</v>
      </c>
      <c r="F69" t="s">
        <v>758</v>
      </c>
      <c r="G69" t="s">
        <v>646</v>
      </c>
      <c r="H69" t="s">
        <v>410</v>
      </c>
      <c r="I69" t="str">
        <f>HYPERLINK("https://www.ncbi.nlm.nih.gov/gene/2099", "https://www.ncbi.nlm.nih.gov/gene/2099")</f>
        <v>https://www.ncbi.nlm.nih.gov/gene/2099</v>
      </c>
      <c r="J69" t="s">
        <v>411</v>
      </c>
      <c r="K69" t="s">
        <v>55</v>
      </c>
      <c r="L69" t="s">
        <v>49</v>
      </c>
      <c r="M69" t="s">
        <v>56</v>
      </c>
      <c r="N69">
        <v>0.99999999443562004</v>
      </c>
      <c r="O69">
        <v>3.5378118547435577</v>
      </c>
      <c r="P69">
        <v>6.6779984035739108</v>
      </c>
      <c r="Q69">
        <v>56.899824663994949</v>
      </c>
      <c r="R69">
        <v>1.7551109281248287</v>
      </c>
      <c r="S69">
        <v>0.52977129387305666</v>
      </c>
      <c r="T69">
        <v>20.858568977087558</v>
      </c>
      <c r="U69">
        <v>15.983920673819672</v>
      </c>
      <c r="V69">
        <v>0.25369117536967845</v>
      </c>
      <c r="W69">
        <v>12.95550503165417</v>
      </c>
      <c r="X69">
        <v>0.1765904312910189</v>
      </c>
      <c r="Y69">
        <v>150</v>
      </c>
      <c r="Z69" t="s">
        <v>57</v>
      </c>
      <c r="AA69" t="s">
        <v>383</v>
      </c>
      <c r="AB69" t="s">
        <v>383</v>
      </c>
      <c r="AC69" t="s">
        <v>384</v>
      </c>
      <c r="AD69" t="s">
        <v>60</v>
      </c>
      <c r="AE69" t="s">
        <v>61</v>
      </c>
      <c r="AF69">
        <v>20</v>
      </c>
      <c r="AG69" t="s">
        <v>62</v>
      </c>
      <c r="AH69" t="s">
        <v>63</v>
      </c>
      <c r="AI69" t="s">
        <v>371</v>
      </c>
      <c r="AJ69" t="s">
        <v>65</v>
      </c>
      <c r="AK69" t="s">
        <v>759</v>
      </c>
      <c r="AL69" t="s">
        <v>760</v>
      </c>
      <c r="AM69">
        <v>1000</v>
      </c>
      <c r="AN69" t="s">
        <v>155</v>
      </c>
      <c r="AO69" t="s">
        <v>156</v>
      </c>
      <c r="AP69" t="s">
        <v>387</v>
      </c>
      <c r="AQ69" t="s">
        <v>414</v>
      </c>
      <c r="AR69" t="s">
        <v>72</v>
      </c>
      <c r="AS69" t="s">
        <v>388</v>
      </c>
      <c r="AT69" t="s">
        <v>74</v>
      </c>
      <c r="AU69" t="s">
        <v>389</v>
      </c>
      <c r="AV69" t="s">
        <v>76</v>
      </c>
    </row>
    <row r="70" spans="1:48" x14ac:dyDescent="0.35">
      <c r="A70" t="s">
        <v>761</v>
      </c>
      <c r="B70" t="s">
        <v>49</v>
      </c>
      <c r="C70" t="s">
        <v>762</v>
      </c>
      <c r="D70" t="s">
        <v>761</v>
      </c>
      <c r="E70" t="s">
        <v>763</v>
      </c>
      <c r="F70" t="s">
        <v>764</v>
      </c>
      <c r="G70" t="s">
        <v>765</v>
      </c>
      <c r="H70" t="s">
        <v>766</v>
      </c>
      <c r="I70" t="str">
        <f>HYPERLINK("https://www.ncbi.nlm.nih.gov/gene/4780", "https://www.ncbi.nlm.nih.gov/gene/4780")</f>
        <v>https://www.ncbi.nlm.nih.gov/gene/4780</v>
      </c>
      <c r="J70" t="s">
        <v>767</v>
      </c>
      <c r="K70" t="s">
        <v>55</v>
      </c>
      <c r="L70" t="s">
        <v>49</v>
      </c>
      <c r="M70" t="s">
        <v>56</v>
      </c>
      <c r="N70">
        <v>0.99999483063392036</v>
      </c>
      <c r="O70">
        <v>59.008215030445953</v>
      </c>
      <c r="P70">
        <v>2.9504107515222975</v>
      </c>
      <c r="Q70">
        <v>28.635551677632478</v>
      </c>
      <c r="R70">
        <v>1.4569055544213629</v>
      </c>
      <c r="S70">
        <v>20</v>
      </c>
      <c r="T70">
        <v>20.619527885542038</v>
      </c>
      <c r="U70">
        <v>9.7229292208150255</v>
      </c>
      <c r="V70">
        <v>6.517288927888309</v>
      </c>
      <c r="W70">
        <v>10.268447780205696</v>
      </c>
      <c r="X70">
        <v>2.5097829089069097</v>
      </c>
      <c r="Y70">
        <v>91.981566820276498</v>
      </c>
      <c r="Z70" t="s">
        <v>57</v>
      </c>
      <c r="AA70" t="s">
        <v>114</v>
      </c>
      <c r="AB70" t="s">
        <v>114</v>
      </c>
      <c r="AC70" t="s">
        <v>115</v>
      </c>
      <c r="AD70" t="s">
        <v>116</v>
      </c>
      <c r="AE70" t="s">
        <v>61</v>
      </c>
      <c r="AF70">
        <v>20</v>
      </c>
      <c r="AG70" t="s">
        <v>62</v>
      </c>
      <c r="AH70" t="s">
        <v>63</v>
      </c>
      <c r="AI70" t="s">
        <v>371</v>
      </c>
      <c r="AJ70" t="s">
        <v>65</v>
      </c>
      <c r="AK70" t="s">
        <v>768</v>
      </c>
      <c r="AL70" t="s">
        <v>769</v>
      </c>
      <c r="AM70">
        <v>1000</v>
      </c>
      <c r="AN70" t="s">
        <v>106</v>
      </c>
      <c r="AO70" t="s">
        <v>121</v>
      </c>
      <c r="AP70" t="s">
        <v>122</v>
      </c>
      <c r="AQ70" t="s">
        <v>107</v>
      </c>
      <c r="AR70" t="s">
        <v>72</v>
      </c>
      <c r="AS70" t="s">
        <v>124</v>
      </c>
      <c r="AT70" t="s">
        <v>74</v>
      </c>
      <c r="AU70" t="s">
        <v>126</v>
      </c>
      <c r="AV70" t="s">
        <v>76</v>
      </c>
    </row>
    <row r="71" spans="1:48" x14ac:dyDescent="0.35">
      <c r="A71" t="s">
        <v>770</v>
      </c>
      <c r="B71" t="s">
        <v>377</v>
      </c>
      <c r="C71" t="s">
        <v>771</v>
      </c>
      <c r="D71" t="s">
        <v>770</v>
      </c>
      <c r="E71" t="s">
        <v>772</v>
      </c>
      <c r="F71" t="s">
        <v>773</v>
      </c>
      <c r="G71" t="s">
        <v>49</v>
      </c>
      <c r="H71" t="s">
        <v>774</v>
      </c>
      <c r="I71" t="str">
        <f>HYPERLINK("https://www.ncbi.nlm.nih.gov/gene/317734", "https://www.ncbi.nlm.nih.gov/gene/317734")</f>
        <v>https://www.ncbi.nlm.nih.gov/gene/317734</v>
      </c>
      <c r="J71" t="s">
        <v>775</v>
      </c>
      <c r="K71" t="s">
        <v>55</v>
      </c>
      <c r="L71" t="s">
        <v>49</v>
      </c>
      <c r="M71" t="s">
        <v>56</v>
      </c>
      <c r="N71">
        <v>0.97325366106802946</v>
      </c>
      <c r="O71">
        <v>0.75297648501655123</v>
      </c>
      <c r="P71">
        <v>1.3248575830244387</v>
      </c>
      <c r="Q71">
        <v>100</v>
      </c>
      <c r="R71">
        <v>2</v>
      </c>
      <c r="S71">
        <v>0.56834522794338838</v>
      </c>
      <c r="T71">
        <v>150.95962204739914</v>
      </c>
      <c r="U71">
        <v>20.000000000000004</v>
      </c>
      <c r="V71">
        <v>0.85874734790505103</v>
      </c>
      <c r="W71">
        <v>228.09406800696433</v>
      </c>
      <c r="X71">
        <v>0.1894484093144628</v>
      </c>
      <c r="Y71">
        <v>200</v>
      </c>
      <c r="Z71" t="s">
        <v>57</v>
      </c>
      <c r="AA71" t="s">
        <v>383</v>
      </c>
      <c r="AB71" t="s">
        <v>383</v>
      </c>
      <c r="AC71" t="s">
        <v>384</v>
      </c>
      <c r="AD71" t="s">
        <v>60</v>
      </c>
      <c r="AE71" t="s">
        <v>776</v>
      </c>
      <c r="AF71">
        <v>20</v>
      </c>
      <c r="AG71" t="s">
        <v>62</v>
      </c>
      <c r="AH71" t="s">
        <v>63</v>
      </c>
      <c r="AI71" t="s">
        <v>371</v>
      </c>
      <c r="AJ71" t="s">
        <v>65</v>
      </c>
      <c r="AK71" t="s">
        <v>777</v>
      </c>
      <c r="AL71" t="s">
        <v>778</v>
      </c>
      <c r="AM71">
        <v>1000</v>
      </c>
      <c r="AN71" t="s">
        <v>155</v>
      </c>
      <c r="AO71" t="s">
        <v>156</v>
      </c>
      <c r="AP71" t="s">
        <v>387</v>
      </c>
      <c r="AQ71" t="s">
        <v>414</v>
      </c>
      <c r="AR71" t="s">
        <v>72</v>
      </c>
      <c r="AS71" t="s">
        <v>388</v>
      </c>
      <c r="AT71" t="s">
        <v>74</v>
      </c>
      <c r="AU71" t="s">
        <v>415</v>
      </c>
      <c r="AV71" t="s">
        <v>76</v>
      </c>
    </row>
    <row r="72" spans="1:48" x14ac:dyDescent="0.35">
      <c r="A72" t="s">
        <v>779</v>
      </c>
      <c r="B72" t="s">
        <v>377</v>
      </c>
      <c r="C72" t="s">
        <v>780</v>
      </c>
      <c r="D72" t="s">
        <v>779</v>
      </c>
      <c r="E72" t="s">
        <v>781</v>
      </c>
      <c r="F72" t="s">
        <v>782</v>
      </c>
      <c r="G72" t="s">
        <v>49</v>
      </c>
      <c r="H72" t="s">
        <v>783</v>
      </c>
      <c r="I72" t="str">
        <f>HYPERLINK("https://www.ncbi.nlm.nih.gov/gene/398734", "https://www.ncbi.nlm.nih.gov/gene/398734")</f>
        <v>https://www.ncbi.nlm.nih.gov/gene/398734</v>
      </c>
      <c r="J72" t="s">
        <v>784</v>
      </c>
      <c r="K72" t="s">
        <v>55</v>
      </c>
      <c r="L72" t="s">
        <v>49</v>
      </c>
      <c r="M72" t="s">
        <v>56</v>
      </c>
      <c r="N72">
        <v>0.99817107846574005</v>
      </c>
      <c r="O72">
        <v>0.98423526333084899</v>
      </c>
      <c r="P72">
        <v>2.358455057525787</v>
      </c>
      <c r="Q72">
        <v>75</v>
      </c>
      <c r="R72">
        <v>1.8750612633917001</v>
      </c>
      <c r="S72">
        <v>0.41732203468968904</v>
      </c>
      <c r="T72">
        <v>63.600957551153137</v>
      </c>
      <c r="U72">
        <v>15.000000000000002</v>
      </c>
      <c r="V72">
        <v>0.21905128717584751</v>
      </c>
      <c r="W72">
        <v>33.383982773773134</v>
      </c>
      <c r="X72">
        <v>0.13910734489656301</v>
      </c>
      <c r="Y72">
        <v>150</v>
      </c>
      <c r="Z72" t="s">
        <v>57</v>
      </c>
      <c r="AA72" t="s">
        <v>383</v>
      </c>
      <c r="AB72" t="s">
        <v>383</v>
      </c>
      <c r="AC72" t="s">
        <v>384</v>
      </c>
      <c r="AD72" t="s">
        <v>60</v>
      </c>
      <c r="AE72" t="s">
        <v>61</v>
      </c>
      <c r="AF72">
        <v>20</v>
      </c>
      <c r="AG72" t="s">
        <v>62</v>
      </c>
      <c r="AH72" t="s">
        <v>63</v>
      </c>
      <c r="AI72" t="s">
        <v>371</v>
      </c>
      <c r="AJ72" t="s">
        <v>65</v>
      </c>
      <c r="AK72" t="s">
        <v>785</v>
      </c>
      <c r="AL72" t="s">
        <v>786</v>
      </c>
      <c r="AM72">
        <v>1000</v>
      </c>
      <c r="AN72" t="s">
        <v>155</v>
      </c>
      <c r="AO72" t="s">
        <v>156</v>
      </c>
      <c r="AP72" t="s">
        <v>387</v>
      </c>
      <c r="AQ72" t="s">
        <v>414</v>
      </c>
      <c r="AR72" t="s">
        <v>72</v>
      </c>
      <c r="AS72" t="s">
        <v>388</v>
      </c>
      <c r="AT72" t="s">
        <v>74</v>
      </c>
      <c r="AU72" t="s">
        <v>389</v>
      </c>
      <c r="AV72" t="s">
        <v>76</v>
      </c>
    </row>
    <row r="73" spans="1:48" x14ac:dyDescent="0.35">
      <c r="A73" t="s">
        <v>787</v>
      </c>
      <c r="B73" t="s">
        <v>49</v>
      </c>
      <c r="C73" t="s">
        <v>788</v>
      </c>
      <c r="D73" t="s">
        <v>787</v>
      </c>
      <c r="E73" t="s">
        <v>789</v>
      </c>
      <c r="F73" t="s">
        <v>790</v>
      </c>
      <c r="G73" t="s">
        <v>522</v>
      </c>
      <c r="H73" t="s">
        <v>523</v>
      </c>
      <c r="I73" t="str">
        <f>HYPERLINK("https://www.ncbi.nlm.nih.gov/gene/2100", "https://www.ncbi.nlm.nih.gov/gene/2100")</f>
        <v>https://www.ncbi.nlm.nih.gov/gene/2100</v>
      </c>
      <c r="J73" t="s">
        <v>524</v>
      </c>
      <c r="K73" t="s">
        <v>55</v>
      </c>
      <c r="L73" t="s">
        <v>49</v>
      </c>
      <c r="M73" t="s">
        <v>56</v>
      </c>
      <c r="N73">
        <v>0.99972554009940051</v>
      </c>
      <c r="O73">
        <v>-50.548976585974415</v>
      </c>
      <c r="P73">
        <v>-2.0842757185532741</v>
      </c>
      <c r="Q73">
        <v>40.600752971328419</v>
      </c>
      <c r="R73">
        <v>1.6085340879678496</v>
      </c>
      <c r="S73">
        <v>24.252538249143537</v>
      </c>
      <c r="T73">
        <v>40.302999395471815</v>
      </c>
      <c r="U73">
        <v>32.082310650929742</v>
      </c>
      <c r="V73">
        <v>10.176704838643378</v>
      </c>
      <c r="W73">
        <v>35.269988690760648</v>
      </c>
      <c r="X73">
        <v>4.0420897081905895</v>
      </c>
      <c r="Y73">
        <v>3.6792626728110598</v>
      </c>
      <c r="Z73" t="s">
        <v>57</v>
      </c>
      <c r="AA73" t="s">
        <v>114</v>
      </c>
      <c r="AB73" t="s">
        <v>114</v>
      </c>
      <c r="AC73" t="s">
        <v>115</v>
      </c>
      <c r="AD73" t="s">
        <v>116</v>
      </c>
      <c r="AE73" t="s">
        <v>117</v>
      </c>
      <c r="AF73">
        <v>20</v>
      </c>
      <c r="AG73" t="s">
        <v>62</v>
      </c>
      <c r="AH73" t="s">
        <v>63</v>
      </c>
      <c r="AI73" t="s">
        <v>118</v>
      </c>
      <c r="AJ73" t="s">
        <v>65</v>
      </c>
      <c r="AK73" t="s">
        <v>791</v>
      </c>
      <c r="AL73" t="s">
        <v>792</v>
      </c>
      <c r="AM73">
        <v>1000</v>
      </c>
      <c r="AN73" t="s">
        <v>155</v>
      </c>
      <c r="AO73" t="s">
        <v>156</v>
      </c>
      <c r="AP73" t="s">
        <v>157</v>
      </c>
      <c r="AQ73" t="s">
        <v>414</v>
      </c>
      <c r="AR73" t="s">
        <v>72</v>
      </c>
      <c r="AS73" t="s">
        <v>124</v>
      </c>
      <c r="AT73" t="s">
        <v>125</v>
      </c>
      <c r="AU73" t="s">
        <v>126</v>
      </c>
      <c r="AV73" t="s">
        <v>76</v>
      </c>
    </row>
    <row r="74" spans="1:48" x14ac:dyDescent="0.35">
      <c r="A74" t="s">
        <v>793</v>
      </c>
      <c r="B74" t="s">
        <v>49</v>
      </c>
      <c r="C74" t="s">
        <v>794</v>
      </c>
      <c r="D74" t="s">
        <v>793</v>
      </c>
      <c r="E74" t="s">
        <v>795</v>
      </c>
      <c r="F74" t="s">
        <v>796</v>
      </c>
      <c r="G74" t="s">
        <v>583</v>
      </c>
      <c r="H74" t="s">
        <v>584</v>
      </c>
      <c r="I74" t="str">
        <f>HYPERLINK("https://www.ncbi.nlm.nih.gov/gene/6257", "https://www.ncbi.nlm.nih.gov/gene/6257")</f>
        <v>https://www.ncbi.nlm.nih.gov/gene/6257</v>
      </c>
      <c r="J74" t="s">
        <v>585</v>
      </c>
      <c r="K74" t="s">
        <v>55</v>
      </c>
      <c r="L74" t="s">
        <v>49</v>
      </c>
      <c r="M74" t="s">
        <v>56</v>
      </c>
      <c r="N74">
        <v>0.99999999946223239</v>
      </c>
      <c r="O74">
        <v>3.5921338609286573</v>
      </c>
      <c r="P74">
        <v>3.5811570515271929</v>
      </c>
      <c r="Q74">
        <v>56.967989390028819</v>
      </c>
      <c r="R74">
        <v>1.7556308918768182</v>
      </c>
      <c r="S74">
        <v>1.0030651572225193</v>
      </c>
      <c r="T74">
        <v>26.912126180381001</v>
      </c>
      <c r="U74">
        <v>8.6593106146291667</v>
      </c>
      <c r="V74">
        <v>0.50543899213344512</v>
      </c>
      <c r="W74">
        <v>12.463356391007027</v>
      </c>
      <c r="X74">
        <v>0.20061303144450385</v>
      </c>
      <c r="Y74">
        <v>300</v>
      </c>
      <c r="Z74" t="s">
        <v>57</v>
      </c>
      <c r="AA74" t="s">
        <v>383</v>
      </c>
      <c r="AB74" t="s">
        <v>383</v>
      </c>
      <c r="AC74" t="s">
        <v>384</v>
      </c>
      <c r="AD74" t="s">
        <v>60</v>
      </c>
      <c r="AE74" t="s">
        <v>61</v>
      </c>
      <c r="AF74">
        <v>20</v>
      </c>
      <c r="AG74" t="s">
        <v>62</v>
      </c>
      <c r="AH74" t="s">
        <v>63</v>
      </c>
      <c r="AI74" t="s">
        <v>371</v>
      </c>
      <c r="AJ74" t="s">
        <v>65</v>
      </c>
      <c r="AK74" t="s">
        <v>797</v>
      </c>
      <c r="AL74" t="s">
        <v>798</v>
      </c>
      <c r="AM74">
        <v>1000</v>
      </c>
      <c r="AN74" t="s">
        <v>155</v>
      </c>
      <c r="AO74" t="s">
        <v>156</v>
      </c>
      <c r="AP74" t="s">
        <v>387</v>
      </c>
      <c r="AQ74" t="s">
        <v>158</v>
      </c>
      <c r="AR74" t="s">
        <v>72</v>
      </c>
      <c r="AS74" t="s">
        <v>388</v>
      </c>
      <c r="AT74" t="s">
        <v>74</v>
      </c>
      <c r="AU74">
        <v>1475794</v>
      </c>
      <c r="AV74" t="s">
        <v>76</v>
      </c>
    </row>
    <row r="75" spans="1:48" x14ac:dyDescent="0.35">
      <c r="A75" t="s">
        <v>799</v>
      </c>
      <c r="B75" t="s">
        <v>650</v>
      </c>
      <c r="C75" t="s">
        <v>800</v>
      </c>
      <c r="D75" t="s">
        <v>799</v>
      </c>
      <c r="E75" t="s">
        <v>801</v>
      </c>
      <c r="F75" t="s">
        <v>802</v>
      </c>
      <c r="G75" t="s">
        <v>49</v>
      </c>
      <c r="H75" t="s">
        <v>654</v>
      </c>
      <c r="I75" t="str">
        <f>HYPERLINK("https://www.ncbi.nlm.nih.gov/gene/7276", "https://www.ncbi.nlm.nih.gov/gene/7276")</f>
        <v>https://www.ncbi.nlm.nih.gov/gene/7276</v>
      </c>
      <c r="J75" t="s">
        <v>655</v>
      </c>
      <c r="K75" t="s">
        <v>55</v>
      </c>
      <c r="L75" t="s">
        <v>49</v>
      </c>
      <c r="M75" t="s">
        <v>56</v>
      </c>
      <c r="N75">
        <v>1</v>
      </c>
      <c r="O75">
        <v>97.21727363448683</v>
      </c>
      <c r="P75">
        <v>4.8608636817243411</v>
      </c>
      <c r="Q75">
        <v>0.39153166498660996</v>
      </c>
      <c r="R75">
        <v>-0.40723310877117691</v>
      </c>
      <c r="S75">
        <v>20</v>
      </c>
      <c r="T75">
        <v>0.13010168843984798</v>
      </c>
      <c r="U75">
        <v>5.9514024259655678E-2</v>
      </c>
      <c r="V75">
        <v>5.2819227760003162</v>
      </c>
      <c r="W75">
        <v>3.1554697506948171E-2</v>
      </c>
      <c r="X75">
        <v>2.991935744486705</v>
      </c>
      <c r="Y75">
        <v>6.1509375000000004</v>
      </c>
      <c r="Z75" t="s">
        <v>57</v>
      </c>
      <c r="AA75" t="s">
        <v>656</v>
      </c>
      <c r="AB75" t="s">
        <v>656</v>
      </c>
      <c r="AC75" t="s">
        <v>657</v>
      </c>
      <c r="AD75" t="s">
        <v>149</v>
      </c>
      <c r="AE75" t="s">
        <v>61</v>
      </c>
      <c r="AF75">
        <v>20</v>
      </c>
      <c r="AG75" t="s">
        <v>62</v>
      </c>
      <c r="AH75" t="s">
        <v>63</v>
      </c>
      <c r="AI75" t="s">
        <v>151</v>
      </c>
      <c r="AJ75" t="s">
        <v>152</v>
      </c>
      <c r="AK75" t="s">
        <v>803</v>
      </c>
      <c r="AL75" t="s">
        <v>804</v>
      </c>
      <c r="AM75">
        <v>1000</v>
      </c>
      <c r="AN75" t="s">
        <v>364</v>
      </c>
      <c r="AO75" t="s">
        <v>156</v>
      </c>
      <c r="AP75" t="s">
        <v>364</v>
      </c>
      <c r="AQ75" t="s">
        <v>660</v>
      </c>
      <c r="AR75" t="s">
        <v>159</v>
      </c>
      <c r="AS75" t="s">
        <v>661</v>
      </c>
      <c r="AT75" t="s">
        <v>151</v>
      </c>
      <c r="AU75" t="s">
        <v>805</v>
      </c>
      <c r="AV75" t="s">
        <v>76</v>
      </c>
    </row>
    <row r="76" spans="1:48" x14ac:dyDescent="0.35">
      <c r="A76" t="s">
        <v>806</v>
      </c>
      <c r="B76" t="s">
        <v>49</v>
      </c>
      <c r="C76" t="s">
        <v>807</v>
      </c>
      <c r="D76" t="s">
        <v>806</v>
      </c>
      <c r="E76" t="s">
        <v>808</v>
      </c>
      <c r="F76" t="s">
        <v>809</v>
      </c>
      <c r="G76" t="s">
        <v>574</v>
      </c>
      <c r="H76" t="s">
        <v>575</v>
      </c>
      <c r="I76" t="str">
        <f>HYPERLINK("https://www.ncbi.nlm.nih.gov/gene/1576", "https://www.ncbi.nlm.nih.gov/gene/1576")</f>
        <v>https://www.ncbi.nlm.nih.gov/gene/1576</v>
      </c>
      <c r="J76" t="s">
        <v>576</v>
      </c>
      <c r="K76" t="s">
        <v>55</v>
      </c>
      <c r="L76" t="s">
        <v>49</v>
      </c>
      <c r="M76" t="s">
        <v>56</v>
      </c>
      <c r="N76">
        <v>0.96230551580545265</v>
      </c>
      <c r="O76">
        <v>1.70366220983475</v>
      </c>
      <c r="P76">
        <v>1.70366220983475</v>
      </c>
      <c r="Q76">
        <v>3.9685054714925703</v>
      </c>
      <c r="R76">
        <v>0.59862698341635334</v>
      </c>
      <c r="S76">
        <v>1</v>
      </c>
      <c r="T76">
        <v>6.7730133244017168</v>
      </c>
      <c r="U76">
        <v>1.8566399496503631E-2</v>
      </c>
      <c r="V76">
        <v>1.2506419536543831</v>
      </c>
      <c r="W76">
        <v>14.274420098869021</v>
      </c>
      <c r="X76">
        <v>0.78372487025656357</v>
      </c>
      <c r="Y76">
        <v>40</v>
      </c>
      <c r="Z76" t="s">
        <v>57</v>
      </c>
      <c r="AA76" t="s">
        <v>397</v>
      </c>
      <c r="AB76" t="s">
        <v>397</v>
      </c>
      <c r="AC76" t="s">
        <v>398</v>
      </c>
      <c r="AD76" t="s">
        <v>60</v>
      </c>
      <c r="AE76" t="s">
        <v>399</v>
      </c>
      <c r="AF76">
        <v>20</v>
      </c>
      <c r="AG76" t="s">
        <v>62</v>
      </c>
      <c r="AH76" t="s">
        <v>63</v>
      </c>
      <c r="AI76" t="s">
        <v>400</v>
      </c>
      <c r="AJ76" t="s">
        <v>401</v>
      </c>
      <c r="AK76" t="s">
        <v>810</v>
      </c>
      <c r="AL76" t="s">
        <v>811</v>
      </c>
      <c r="AM76">
        <v>1000</v>
      </c>
      <c r="AN76" t="s">
        <v>171</v>
      </c>
      <c r="AO76" t="s">
        <v>69</v>
      </c>
      <c r="AP76" t="s">
        <v>70</v>
      </c>
      <c r="AQ76" t="s">
        <v>189</v>
      </c>
      <c r="AR76" t="s">
        <v>49</v>
      </c>
      <c r="AS76" t="s">
        <v>404</v>
      </c>
      <c r="AT76" t="s">
        <v>74</v>
      </c>
      <c r="AU76" t="s">
        <v>405</v>
      </c>
      <c r="AV76" t="s">
        <v>76</v>
      </c>
    </row>
    <row r="77" spans="1:48" x14ac:dyDescent="0.35">
      <c r="A77" t="s">
        <v>812</v>
      </c>
      <c r="B77" t="s">
        <v>813</v>
      </c>
      <c r="C77" t="s">
        <v>814</v>
      </c>
      <c r="D77" t="s">
        <v>812</v>
      </c>
      <c r="E77" t="s">
        <v>815</v>
      </c>
      <c r="F77" t="s">
        <v>816</v>
      </c>
      <c r="G77" t="s">
        <v>646</v>
      </c>
      <c r="H77" t="s">
        <v>410</v>
      </c>
      <c r="I77" t="str">
        <f>HYPERLINK("https://www.ncbi.nlm.nih.gov/gene/2099", "https://www.ncbi.nlm.nih.gov/gene/2099")</f>
        <v>https://www.ncbi.nlm.nih.gov/gene/2099</v>
      </c>
      <c r="J77" t="s">
        <v>411</v>
      </c>
      <c r="K77" t="s">
        <v>55</v>
      </c>
      <c r="L77" t="s">
        <v>49</v>
      </c>
      <c r="M77" t="s">
        <v>56</v>
      </c>
      <c r="N77">
        <v>0.99999999999999944</v>
      </c>
      <c r="O77">
        <v>2.8778758731550313</v>
      </c>
      <c r="P77">
        <v>2.6001744512301426</v>
      </c>
      <c r="Q77">
        <v>7.915230026785145</v>
      </c>
      <c r="R77">
        <v>0.89846354053910271</v>
      </c>
      <c r="S77">
        <v>1.1068010732101103</v>
      </c>
      <c r="T77">
        <v>7.3313106367443099</v>
      </c>
      <c r="U77">
        <v>5.5323500849531664</v>
      </c>
      <c r="V77">
        <v>0.67083788089551921</v>
      </c>
      <c r="W77">
        <v>6.5186026581261141</v>
      </c>
      <c r="X77">
        <v>0.22136021464202205</v>
      </c>
      <c r="Y77">
        <v>300</v>
      </c>
      <c r="Z77" t="s">
        <v>57</v>
      </c>
      <c r="AA77" t="s">
        <v>383</v>
      </c>
      <c r="AB77" t="s">
        <v>383</v>
      </c>
      <c r="AC77" t="s">
        <v>384</v>
      </c>
      <c r="AD77" t="s">
        <v>60</v>
      </c>
      <c r="AE77" t="s">
        <v>61</v>
      </c>
      <c r="AF77">
        <v>20</v>
      </c>
      <c r="AG77" t="s">
        <v>62</v>
      </c>
      <c r="AH77" t="s">
        <v>63</v>
      </c>
      <c r="AI77" t="s">
        <v>371</v>
      </c>
      <c r="AJ77" t="s">
        <v>65</v>
      </c>
      <c r="AK77" t="s">
        <v>817</v>
      </c>
      <c r="AL77" t="s">
        <v>818</v>
      </c>
      <c r="AM77">
        <v>1000</v>
      </c>
      <c r="AN77" t="s">
        <v>155</v>
      </c>
      <c r="AO77" t="s">
        <v>156</v>
      </c>
      <c r="AP77" t="s">
        <v>387</v>
      </c>
      <c r="AQ77" t="s">
        <v>414</v>
      </c>
      <c r="AR77" t="s">
        <v>72</v>
      </c>
      <c r="AS77" t="s">
        <v>388</v>
      </c>
      <c r="AT77" t="s">
        <v>74</v>
      </c>
      <c r="AU77">
        <v>1475794</v>
      </c>
      <c r="AV77" t="s">
        <v>76</v>
      </c>
    </row>
    <row r="78" spans="1:48" x14ac:dyDescent="0.35">
      <c r="A78" t="s">
        <v>819</v>
      </c>
      <c r="B78" t="s">
        <v>49</v>
      </c>
      <c r="C78" t="s">
        <v>820</v>
      </c>
      <c r="D78" t="s">
        <v>819</v>
      </c>
      <c r="E78" t="s">
        <v>821</v>
      </c>
      <c r="F78" t="s">
        <v>822</v>
      </c>
      <c r="G78" t="s">
        <v>679</v>
      </c>
      <c r="H78" t="s">
        <v>680</v>
      </c>
      <c r="I78" t="str">
        <f>HYPERLINK("https://www.ncbi.nlm.nih.gov/gene/3576", "https://www.ncbi.nlm.nih.gov/gene/3576")</f>
        <v>https://www.ncbi.nlm.nih.gov/gene/3576</v>
      </c>
      <c r="J78" t="s">
        <v>681</v>
      </c>
      <c r="K78" t="s">
        <v>55</v>
      </c>
      <c r="L78" t="s">
        <v>49</v>
      </c>
      <c r="M78" t="s">
        <v>56</v>
      </c>
      <c r="N78">
        <v>0.99914206181223364</v>
      </c>
      <c r="O78">
        <v>0.15600133912270112</v>
      </c>
      <c r="P78">
        <v>1.5792541908975188</v>
      </c>
      <c r="Q78">
        <v>16.018678504847308</v>
      </c>
      <c r="R78">
        <v>1.2046266851736045</v>
      </c>
      <c r="S78">
        <v>9.8781652771200004E-2</v>
      </c>
      <c r="T78">
        <v>25.868033640372243</v>
      </c>
      <c r="U78">
        <v>0.27985511969537735</v>
      </c>
      <c r="V78">
        <v>0.11928392634647494</v>
      </c>
      <c r="W78">
        <v>37.103427456372074</v>
      </c>
      <c r="X78">
        <v>3.2927217590400001E-2</v>
      </c>
      <c r="Y78">
        <v>60</v>
      </c>
      <c r="Z78" t="s">
        <v>57</v>
      </c>
      <c r="AA78" t="s">
        <v>430</v>
      </c>
      <c r="AB78" t="s">
        <v>430</v>
      </c>
      <c r="AC78" t="s">
        <v>431</v>
      </c>
      <c r="AD78" t="s">
        <v>432</v>
      </c>
      <c r="AE78" t="s">
        <v>823</v>
      </c>
      <c r="AF78">
        <v>20</v>
      </c>
      <c r="AG78" t="s">
        <v>62</v>
      </c>
      <c r="AH78" t="s">
        <v>63</v>
      </c>
      <c r="AI78" t="s">
        <v>824</v>
      </c>
      <c r="AJ78" t="s">
        <v>401</v>
      </c>
      <c r="AK78" t="s">
        <v>751</v>
      </c>
      <c r="AL78" t="s">
        <v>825</v>
      </c>
      <c r="AM78">
        <v>1000</v>
      </c>
      <c r="AN78" t="s">
        <v>489</v>
      </c>
      <c r="AO78" t="s">
        <v>156</v>
      </c>
      <c r="AP78" t="s">
        <v>172</v>
      </c>
      <c r="AQ78" t="s">
        <v>490</v>
      </c>
      <c r="AR78" t="s">
        <v>438</v>
      </c>
      <c r="AS78" t="s">
        <v>439</v>
      </c>
      <c r="AT78" t="s">
        <v>491</v>
      </c>
      <c r="AU78" t="s">
        <v>517</v>
      </c>
      <c r="AV78" t="s">
        <v>76</v>
      </c>
    </row>
    <row r="79" spans="1:48" x14ac:dyDescent="0.35">
      <c r="A79" t="s">
        <v>826</v>
      </c>
      <c r="B79" t="s">
        <v>49</v>
      </c>
      <c r="C79" t="s">
        <v>827</v>
      </c>
      <c r="D79" t="s">
        <v>826</v>
      </c>
      <c r="E79" t="s">
        <v>828</v>
      </c>
      <c r="F79" t="s">
        <v>829</v>
      </c>
      <c r="G79" t="s">
        <v>830</v>
      </c>
      <c r="H79" t="s">
        <v>831</v>
      </c>
      <c r="I79" t="s">
        <v>832</v>
      </c>
      <c r="J79" t="s">
        <v>833</v>
      </c>
      <c r="K79" t="s">
        <v>55</v>
      </c>
      <c r="L79" t="s">
        <v>49</v>
      </c>
      <c r="M79" t="s">
        <v>56</v>
      </c>
      <c r="N79">
        <v>0.95454402427549068</v>
      </c>
      <c r="O79">
        <v>-1.4392950283662431</v>
      </c>
      <c r="P79">
        <v>-2.0705039228338742</v>
      </c>
      <c r="Q79">
        <v>220.99001391614541</v>
      </c>
      <c r="R79">
        <v>2.3443726492547929</v>
      </c>
      <c r="S79">
        <v>0.69514238176197085</v>
      </c>
      <c r="T79">
        <v>217.72415530620418</v>
      </c>
      <c r="U79">
        <v>117.07126907929943</v>
      </c>
      <c r="V79">
        <v>0.20905427251644881</v>
      </c>
      <c r="W79">
        <v>134.01523773046344</v>
      </c>
      <c r="X79">
        <v>0.13902847635239418</v>
      </c>
      <c r="Y79">
        <v>1.23</v>
      </c>
      <c r="Z79" t="s">
        <v>57</v>
      </c>
      <c r="AA79" t="s">
        <v>383</v>
      </c>
      <c r="AB79" t="s">
        <v>383</v>
      </c>
      <c r="AC79" t="s">
        <v>384</v>
      </c>
      <c r="AD79" t="s">
        <v>60</v>
      </c>
      <c r="AE79" t="s">
        <v>834</v>
      </c>
      <c r="AF79">
        <v>20</v>
      </c>
      <c r="AG79" t="s">
        <v>62</v>
      </c>
      <c r="AH79" t="s">
        <v>63</v>
      </c>
      <c r="AI79" t="s">
        <v>371</v>
      </c>
      <c r="AJ79" t="s">
        <v>65</v>
      </c>
      <c r="AK79" t="s">
        <v>835</v>
      </c>
      <c r="AL79" t="s">
        <v>836</v>
      </c>
      <c r="AM79">
        <v>1000</v>
      </c>
      <c r="AN79" t="s">
        <v>106</v>
      </c>
      <c r="AO79" t="s">
        <v>156</v>
      </c>
      <c r="AP79" t="s">
        <v>387</v>
      </c>
      <c r="AQ79" t="s">
        <v>837</v>
      </c>
      <c r="AR79" t="s">
        <v>72</v>
      </c>
      <c r="AS79" t="s">
        <v>388</v>
      </c>
      <c r="AT79" t="s">
        <v>74</v>
      </c>
      <c r="AU79">
        <v>1475794</v>
      </c>
      <c r="AV79" t="s">
        <v>76</v>
      </c>
    </row>
    <row r="80" spans="1:48" x14ac:dyDescent="0.35">
      <c r="A80" t="s">
        <v>838</v>
      </c>
      <c r="B80" t="s">
        <v>49</v>
      </c>
      <c r="C80" t="s">
        <v>839</v>
      </c>
      <c r="D80" t="s">
        <v>838</v>
      </c>
      <c r="E80" t="s">
        <v>840</v>
      </c>
      <c r="F80" t="s">
        <v>841</v>
      </c>
      <c r="G80" t="s">
        <v>49</v>
      </c>
      <c r="H80" t="s">
        <v>49</v>
      </c>
      <c r="I80" t="s">
        <v>49</v>
      </c>
      <c r="J80" t="s">
        <v>49</v>
      </c>
      <c r="K80" t="s">
        <v>842</v>
      </c>
      <c r="L80" t="s">
        <v>843</v>
      </c>
      <c r="M80" t="s">
        <v>56</v>
      </c>
      <c r="N80">
        <v>0.99821944528451001</v>
      </c>
      <c r="O80">
        <v>-1.3160120264717572</v>
      </c>
      <c r="P80">
        <v>-1.483032033711277</v>
      </c>
      <c r="Q80">
        <v>108.19992588803586</v>
      </c>
      <c r="R80">
        <v>2.0342269632989418</v>
      </c>
      <c r="S80">
        <v>0.88737936643111248</v>
      </c>
      <c r="T80">
        <v>130.38126921794969</v>
      </c>
      <c r="U80">
        <v>52.156134731164123</v>
      </c>
      <c r="V80">
        <v>0.4538331616970761</v>
      </c>
      <c r="W80">
        <v>89.35165849312753</v>
      </c>
      <c r="X80">
        <v>8.8737936643111248E-2</v>
      </c>
      <c r="Y80">
        <v>3.13</v>
      </c>
      <c r="Z80" t="s">
        <v>57</v>
      </c>
      <c r="AA80" t="s">
        <v>667</v>
      </c>
      <c r="AB80" t="s">
        <v>667</v>
      </c>
      <c r="AC80" t="s">
        <v>668</v>
      </c>
      <c r="AD80" t="s">
        <v>131</v>
      </c>
      <c r="AE80" t="s">
        <v>61</v>
      </c>
      <c r="AF80">
        <v>20</v>
      </c>
      <c r="AG80" t="s">
        <v>62</v>
      </c>
      <c r="AH80" t="s">
        <v>63</v>
      </c>
      <c r="AI80" t="s">
        <v>371</v>
      </c>
      <c r="AJ80" t="s">
        <v>65</v>
      </c>
      <c r="AK80" t="s">
        <v>844</v>
      </c>
      <c r="AL80" t="s">
        <v>845</v>
      </c>
      <c r="AM80">
        <v>1000</v>
      </c>
      <c r="AN80" t="s">
        <v>135</v>
      </c>
      <c r="AO80" t="s">
        <v>136</v>
      </c>
      <c r="AP80" t="s">
        <v>136</v>
      </c>
      <c r="AQ80" t="s">
        <v>753</v>
      </c>
      <c r="AR80" t="s">
        <v>515</v>
      </c>
      <c r="AS80" t="s">
        <v>503</v>
      </c>
      <c r="AT80" t="s">
        <v>74</v>
      </c>
      <c r="AU80" t="s">
        <v>405</v>
      </c>
      <c r="AV80" t="s">
        <v>76</v>
      </c>
    </row>
    <row r="81" spans="1:48" x14ac:dyDescent="0.35">
      <c r="A81" t="s">
        <v>846</v>
      </c>
      <c r="B81" t="s">
        <v>705</v>
      </c>
      <c r="C81" t="s">
        <v>847</v>
      </c>
      <c r="D81" t="s">
        <v>846</v>
      </c>
      <c r="E81" t="s">
        <v>848</v>
      </c>
      <c r="F81" t="s">
        <v>849</v>
      </c>
      <c r="G81" t="s">
        <v>49</v>
      </c>
      <c r="H81" t="s">
        <v>49</v>
      </c>
      <c r="I81" t="s">
        <v>49</v>
      </c>
      <c r="J81" t="s">
        <v>49</v>
      </c>
      <c r="K81" t="s">
        <v>55</v>
      </c>
      <c r="L81" t="s">
        <v>49</v>
      </c>
      <c r="M81" t="s">
        <v>56</v>
      </c>
      <c r="N81">
        <v>0.99999999999999878</v>
      </c>
      <c r="O81">
        <v>19.718381180669372</v>
      </c>
      <c r="P81">
        <v>1.2323988237918357</v>
      </c>
      <c r="Q81">
        <v>2.4331327795649362</v>
      </c>
      <c r="R81">
        <v>0.38616580965374891</v>
      </c>
      <c r="S81">
        <v>16</v>
      </c>
      <c r="T81">
        <v>2.9144979661148884</v>
      </c>
      <c r="U81">
        <v>1.8459674087289593</v>
      </c>
      <c r="V81">
        <v>21.584</v>
      </c>
      <c r="W81" t="s">
        <v>49</v>
      </c>
      <c r="X81">
        <v>5</v>
      </c>
      <c r="Y81">
        <v>3</v>
      </c>
      <c r="Z81" t="s">
        <v>57</v>
      </c>
      <c r="AA81" t="s">
        <v>709</v>
      </c>
      <c r="AB81" t="s">
        <v>709</v>
      </c>
      <c r="AC81" t="s">
        <v>710</v>
      </c>
      <c r="AD81" t="s">
        <v>711</v>
      </c>
      <c r="AE81" t="s">
        <v>150</v>
      </c>
      <c r="AF81">
        <v>20</v>
      </c>
      <c r="AG81" t="s">
        <v>62</v>
      </c>
      <c r="AH81" t="s">
        <v>713</v>
      </c>
      <c r="AI81" t="s">
        <v>151</v>
      </c>
      <c r="AJ81" t="s">
        <v>714</v>
      </c>
      <c r="AK81" t="s">
        <v>850</v>
      </c>
      <c r="AL81" t="s">
        <v>851</v>
      </c>
      <c r="AM81">
        <v>1000</v>
      </c>
      <c r="AN81" t="s">
        <v>717</v>
      </c>
      <c r="AO81" t="s">
        <v>718</v>
      </c>
      <c r="AP81" t="s">
        <v>719</v>
      </c>
      <c r="AQ81" t="s">
        <v>852</v>
      </c>
      <c r="AR81" t="s">
        <v>721</v>
      </c>
      <c r="AS81" t="s">
        <v>722</v>
      </c>
      <c r="AT81" t="s">
        <v>151</v>
      </c>
      <c r="AU81">
        <v>1210314640</v>
      </c>
      <c r="AV81" t="s">
        <v>76</v>
      </c>
    </row>
    <row r="82" spans="1:48" x14ac:dyDescent="0.35">
      <c r="A82" t="s">
        <v>853</v>
      </c>
      <c r="B82" t="s">
        <v>493</v>
      </c>
      <c r="C82" t="s">
        <v>854</v>
      </c>
      <c r="D82" t="s">
        <v>853</v>
      </c>
      <c r="E82" t="s">
        <v>855</v>
      </c>
      <c r="F82" t="s">
        <v>856</v>
      </c>
      <c r="G82" t="s">
        <v>49</v>
      </c>
      <c r="H82" t="s">
        <v>49</v>
      </c>
      <c r="I82" t="s">
        <v>49</v>
      </c>
      <c r="J82" t="s">
        <v>49</v>
      </c>
      <c r="K82" t="s">
        <v>55</v>
      </c>
      <c r="L82" t="s">
        <v>49</v>
      </c>
      <c r="M82" t="s">
        <v>56</v>
      </c>
      <c r="N82">
        <v>0.99917079908384776</v>
      </c>
      <c r="O82">
        <v>-82.148588032056409</v>
      </c>
      <c r="P82">
        <v>-2.7382862677352136</v>
      </c>
      <c r="Q82">
        <v>6.4530266437126391</v>
      </c>
      <c r="R82">
        <v>0.80976345825658858</v>
      </c>
      <c r="S82">
        <v>30</v>
      </c>
      <c r="T82">
        <v>3.8644301754220733</v>
      </c>
      <c r="U82">
        <v>0.46674307485845618</v>
      </c>
      <c r="V82">
        <v>30</v>
      </c>
      <c r="W82">
        <v>3.8644301754220733</v>
      </c>
      <c r="X82">
        <v>7.1707551988293528</v>
      </c>
      <c r="Y82">
        <v>2.7434842249657001E-2</v>
      </c>
      <c r="Z82" t="s">
        <v>57</v>
      </c>
      <c r="AA82" t="s">
        <v>857</v>
      </c>
      <c r="AB82" t="s">
        <v>857</v>
      </c>
      <c r="AC82" t="s">
        <v>858</v>
      </c>
      <c r="AD82" t="s">
        <v>138</v>
      </c>
      <c r="AE82" t="s">
        <v>61</v>
      </c>
      <c r="AF82">
        <v>20</v>
      </c>
      <c r="AG82" t="s">
        <v>62</v>
      </c>
      <c r="AH82" t="s">
        <v>63</v>
      </c>
      <c r="AI82" t="s">
        <v>859</v>
      </c>
      <c r="AJ82" t="s">
        <v>401</v>
      </c>
      <c r="AK82" t="s">
        <v>860</v>
      </c>
      <c r="AL82" t="s">
        <v>861</v>
      </c>
      <c r="AM82">
        <v>1000</v>
      </c>
      <c r="AN82" t="s">
        <v>135</v>
      </c>
      <c r="AO82" t="s">
        <v>862</v>
      </c>
      <c r="AP82" t="s">
        <v>863</v>
      </c>
      <c r="AQ82" t="s">
        <v>753</v>
      </c>
      <c r="AR82" t="s">
        <v>138</v>
      </c>
      <c r="AS82" t="s">
        <v>864</v>
      </c>
      <c r="AT82" t="s">
        <v>865</v>
      </c>
      <c r="AU82" t="s">
        <v>866</v>
      </c>
      <c r="AV82" t="s">
        <v>76</v>
      </c>
    </row>
    <row r="83" spans="1:48" x14ac:dyDescent="0.35">
      <c r="A83" t="s">
        <v>867</v>
      </c>
      <c r="B83" t="s">
        <v>493</v>
      </c>
      <c r="C83" t="s">
        <v>868</v>
      </c>
      <c r="D83" t="s">
        <v>867</v>
      </c>
      <c r="E83" t="s">
        <v>869</v>
      </c>
      <c r="F83" t="s">
        <v>870</v>
      </c>
      <c r="G83" t="s">
        <v>49</v>
      </c>
      <c r="H83" t="s">
        <v>49</v>
      </c>
      <c r="I83" t="s">
        <v>49</v>
      </c>
      <c r="J83" t="s">
        <v>49</v>
      </c>
      <c r="K83" t="s">
        <v>55</v>
      </c>
      <c r="L83" t="s">
        <v>49</v>
      </c>
      <c r="M83" t="s">
        <v>56</v>
      </c>
      <c r="N83">
        <v>0.99999771847863406</v>
      </c>
      <c r="O83">
        <v>-98.610135647018723</v>
      </c>
      <c r="P83">
        <v>-3.944405425880749</v>
      </c>
      <c r="Q83">
        <v>89.413403052642082</v>
      </c>
      <c r="R83">
        <v>1.9514026243385072</v>
      </c>
      <c r="S83">
        <v>25</v>
      </c>
      <c r="T83">
        <v>79.061925291372432</v>
      </c>
      <c r="U83">
        <v>64.957169667408905</v>
      </c>
      <c r="V83">
        <v>6.7807365663144541</v>
      </c>
      <c r="W83">
        <v>59.324722353744626</v>
      </c>
      <c r="X83">
        <v>0.70788464078315128</v>
      </c>
      <c r="Y83">
        <v>4.5724737082761785E-2</v>
      </c>
      <c r="Z83" t="s">
        <v>57</v>
      </c>
      <c r="AA83" t="s">
        <v>497</v>
      </c>
      <c r="AB83" t="s">
        <v>497</v>
      </c>
      <c r="AC83" t="s">
        <v>498</v>
      </c>
      <c r="AD83" t="s">
        <v>131</v>
      </c>
      <c r="AE83" t="s">
        <v>61</v>
      </c>
      <c r="AF83">
        <v>20</v>
      </c>
      <c r="AG83" t="s">
        <v>62</v>
      </c>
      <c r="AH83" t="s">
        <v>63</v>
      </c>
      <c r="AI83" t="s">
        <v>871</v>
      </c>
      <c r="AJ83" t="s">
        <v>65</v>
      </c>
      <c r="AK83" t="s">
        <v>872</v>
      </c>
      <c r="AL83" t="s">
        <v>873</v>
      </c>
      <c r="AM83">
        <v>1000</v>
      </c>
      <c r="AN83" t="s">
        <v>135</v>
      </c>
      <c r="AO83" t="s">
        <v>136</v>
      </c>
      <c r="AP83" t="s">
        <v>502</v>
      </c>
      <c r="AQ83" t="s">
        <v>131</v>
      </c>
      <c r="AR83" t="s">
        <v>137</v>
      </c>
      <c r="AS83" t="s">
        <v>503</v>
      </c>
      <c r="AT83" t="s">
        <v>874</v>
      </c>
      <c r="AU83" t="s">
        <v>505</v>
      </c>
      <c r="AV83" t="s">
        <v>76</v>
      </c>
    </row>
    <row r="84" spans="1:48" x14ac:dyDescent="0.35">
      <c r="A84" t="s">
        <v>875</v>
      </c>
      <c r="B84" t="s">
        <v>49</v>
      </c>
      <c r="C84" t="s">
        <v>876</v>
      </c>
      <c r="D84" t="s">
        <v>875</v>
      </c>
      <c r="E84" t="s">
        <v>877</v>
      </c>
      <c r="F84" t="s">
        <v>878</v>
      </c>
      <c r="G84" t="s">
        <v>49</v>
      </c>
      <c r="H84" t="s">
        <v>879</v>
      </c>
      <c r="I84" t="str">
        <f>HYPERLINK("https://www.ncbi.nlm.nih.gov/gene/1282", "https://www.ncbi.nlm.nih.gov/gene/1282")</f>
        <v>https://www.ncbi.nlm.nih.gov/gene/1282</v>
      </c>
      <c r="J84" t="s">
        <v>880</v>
      </c>
      <c r="K84" t="s">
        <v>55</v>
      </c>
      <c r="L84" t="s">
        <v>49</v>
      </c>
      <c r="M84" t="s">
        <v>56</v>
      </c>
      <c r="N84">
        <v>0.99995918240750947</v>
      </c>
      <c r="O84">
        <v>0.23553106917466471</v>
      </c>
      <c r="P84">
        <v>1.6483618852347579</v>
      </c>
      <c r="Q84">
        <v>31.611009274084925</v>
      </c>
      <c r="R84">
        <v>1.4998383621846723</v>
      </c>
      <c r="S84">
        <v>0.14288796124469999</v>
      </c>
      <c r="T84">
        <v>37.79883989739583</v>
      </c>
      <c r="U84">
        <v>7.1386460286857281</v>
      </c>
      <c r="V84">
        <v>0.12801407335507661</v>
      </c>
      <c r="W84">
        <v>34.146254368401664</v>
      </c>
      <c r="X84">
        <v>4.7629320414899992E-2</v>
      </c>
      <c r="Y84">
        <v>60</v>
      </c>
      <c r="Z84" t="s">
        <v>57</v>
      </c>
      <c r="AA84" t="s">
        <v>430</v>
      </c>
      <c r="AB84" t="s">
        <v>430</v>
      </c>
      <c r="AC84" t="s">
        <v>431</v>
      </c>
      <c r="AD84" t="s">
        <v>432</v>
      </c>
      <c r="AE84" t="s">
        <v>823</v>
      </c>
      <c r="AF84">
        <v>20</v>
      </c>
      <c r="AG84" t="s">
        <v>62</v>
      </c>
      <c r="AH84" t="s">
        <v>63</v>
      </c>
      <c r="AI84" t="s">
        <v>881</v>
      </c>
      <c r="AJ84" t="s">
        <v>401</v>
      </c>
      <c r="AK84" t="s">
        <v>882</v>
      </c>
      <c r="AL84" t="s">
        <v>883</v>
      </c>
      <c r="AM84">
        <v>1000</v>
      </c>
      <c r="AN84" t="s">
        <v>884</v>
      </c>
      <c r="AO84" t="s">
        <v>156</v>
      </c>
      <c r="AP84" t="s">
        <v>172</v>
      </c>
      <c r="AQ84" t="s">
        <v>885</v>
      </c>
      <c r="AR84" t="s">
        <v>438</v>
      </c>
      <c r="AS84" t="s">
        <v>439</v>
      </c>
      <c r="AT84" t="s">
        <v>491</v>
      </c>
      <c r="AU84" t="s">
        <v>517</v>
      </c>
      <c r="AV84" t="s">
        <v>76</v>
      </c>
    </row>
    <row r="85" spans="1:48" x14ac:dyDescent="0.35">
      <c r="A85" t="s">
        <v>886</v>
      </c>
      <c r="B85" t="s">
        <v>377</v>
      </c>
      <c r="C85" t="s">
        <v>887</v>
      </c>
      <c r="D85" t="s">
        <v>886</v>
      </c>
      <c r="E85" t="s">
        <v>888</v>
      </c>
      <c r="F85" t="s">
        <v>889</v>
      </c>
      <c r="G85" t="s">
        <v>49</v>
      </c>
      <c r="H85" t="s">
        <v>410</v>
      </c>
      <c r="I85" t="str">
        <f>HYPERLINK("https://www.ncbi.nlm.nih.gov/gene/396099", "https://www.ncbi.nlm.nih.gov/gene/396099")</f>
        <v>https://www.ncbi.nlm.nih.gov/gene/396099</v>
      </c>
      <c r="J85" t="s">
        <v>411</v>
      </c>
      <c r="K85" t="s">
        <v>55</v>
      </c>
      <c r="L85" t="s">
        <v>49</v>
      </c>
      <c r="M85" t="s">
        <v>56</v>
      </c>
      <c r="N85">
        <v>0.99999975248808481</v>
      </c>
      <c r="O85">
        <v>2.0731782667739376</v>
      </c>
      <c r="P85">
        <v>2.6832351436891164</v>
      </c>
      <c r="Q85">
        <v>37.908172988813305</v>
      </c>
      <c r="R85">
        <v>1.5787328538013448</v>
      </c>
      <c r="S85">
        <v>0.7726412914835239</v>
      </c>
      <c r="T85">
        <v>30.092442521781614</v>
      </c>
      <c r="U85">
        <v>12.652740897185467</v>
      </c>
      <c r="V85">
        <v>0.67522526381381009</v>
      </c>
      <c r="W85">
        <v>27.282411980235473</v>
      </c>
      <c r="X85">
        <v>0.25754709716117463</v>
      </c>
      <c r="Y85">
        <v>200</v>
      </c>
      <c r="Z85" t="s">
        <v>57</v>
      </c>
      <c r="AA85" t="s">
        <v>383</v>
      </c>
      <c r="AB85" t="s">
        <v>383</v>
      </c>
      <c r="AC85" t="s">
        <v>384</v>
      </c>
      <c r="AD85" t="s">
        <v>60</v>
      </c>
      <c r="AE85" t="s">
        <v>198</v>
      </c>
      <c r="AF85">
        <v>20</v>
      </c>
      <c r="AG85" t="s">
        <v>62</v>
      </c>
      <c r="AH85" t="s">
        <v>63</v>
      </c>
      <c r="AI85" t="s">
        <v>371</v>
      </c>
      <c r="AJ85" t="s">
        <v>65</v>
      </c>
      <c r="AK85" t="s">
        <v>890</v>
      </c>
      <c r="AL85" t="s">
        <v>891</v>
      </c>
      <c r="AM85">
        <v>1000</v>
      </c>
      <c r="AN85" t="s">
        <v>155</v>
      </c>
      <c r="AO85" t="s">
        <v>156</v>
      </c>
      <c r="AP85" t="s">
        <v>387</v>
      </c>
      <c r="AQ85" t="s">
        <v>414</v>
      </c>
      <c r="AR85" t="s">
        <v>72</v>
      </c>
      <c r="AS85" t="s">
        <v>388</v>
      </c>
      <c r="AT85" t="s">
        <v>74</v>
      </c>
      <c r="AU85" t="s">
        <v>415</v>
      </c>
      <c r="AV85" t="s">
        <v>76</v>
      </c>
    </row>
    <row r="86" spans="1:48" x14ac:dyDescent="0.35">
      <c r="A86" t="s">
        <v>892</v>
      </c>
      <c r="B86" t="s">
        <v>49</v>
      </c>
      <c r="C86" t="s">
        <v>893</v>
      </c>
      <c r="D86" t="s">
        <v>892</v>
      </c>
      <c r="E86" t="s">
        <v>894</v>
      </c>
      <c r="F86" t="s">
        <v>895</v>
      </c>
      <c r="G86" t="s">
        <v>896</v>
      </c>
      <c r="H86" t="s">
        <v>897</v>
      </c>
      <c r="I86" t="str">
        <f>HYPERLINK("https://www.ncbi.nlm.nih.gov/gene/7056", "https://www.ncbi.nlm.nih.gov/gene/7056")</f>
        <v>https://www.ncbi.nlm.nih.gov/gene/7056</v>
      </c>
      <c r="J86" t="s">
        <v>898</v>
      </c>
      <c r="K86" t="s">
        <v>55</v>
      </c>
      <c r="L86" t="s">
        <v>49</v>
      </c>
      <c r="M86" t="s">
        <v>56</v>
      </c>
      <c r="N86">
        <v>0.99973926563236903</v>
      </c>
      <c r="O86">
        <v>0.11935073955322219</v>
      </c>
      <c r="P86">
        <v>1.1961498935056247</v>
      </c>
      <c r="Q86">
        <v>0.60864973121524935</v>
      </c>
      <c r="R86">
        <v>-0.21563256543500137</v>
      </c>
      <c r="S86">
        <v>9.9779083040700003E-2</v>
      </c>
      <c r="T86">
        <v>1.639379287069193</v>
      </c>
      <c r="U86">
        <v>0.11935796070394333</v>
      </c>
      <c r="V86">
        <v>5.7800176625568182E-2</v>
      </c>
      <c r="W86">
        <v>0.58261328339769125</v>
      </c>
      <c r="X86">
        <v>3.3259694346900001E-2</v>
      </c>
      <c r="Y86">
        <v>6.7</v>
      </c>
      <c r="Z86" t="s">
        <v>57</v>
      </c>
      <c r="AA86" t="s">
        <v>430</v>
      </c>
      <c r="AB86" t="s">
        <v>430</v>
      </c>
      <c r="AC86" t="s">
        <v>431</v>
      </c>
      <c r="AD86" t="s">
        <v>432</v>
      </c>
      <c r="AE86" t="s">
        <v>899</v>
      </c>
      <c r="AF86">
        <v>20</v>
      </c>
      <c r="AG86" t="s">
        <v>62</v>
      </c>
      <c r="AH86" t="s">
        <v>63</v>
      </c>
      <c r="AI86" t="s">
        <v>745</v>
      </c>
      <c r="AJ86" t="s">
        <v>512</v>
      </c>
      <c r="AK86" t="s">
        <v>900</v>
      </c>
      <c r="AL86" t="s">
        <v>901</v>
      </c>
      <c r="AM86">
        <v>1000</v>
      </c>
      <c r="AN86" t="s">
        <v>250</v>
      </c>
      <c r="AO86" t="s">
        <v>156</v>
      </c>
      <c r="AP86" t="s">
        <v>172</v>
      </c>
      <c r="AQ86" t="s">
        <v>251</v>
      </c>
      <c r="AR86" t="s">
        <v>438</v>
      </c>
      <c r="AS86" t="s">
        <v>439</v>
      </c>
      <c r="AT86" t="s">
        <v>491</v>
      </c>
      <c r="AU86" t="s">
        <v>517</v>
      </c>
      <c r="AV86" t="s">
        <v>76</v>
      </c>
    </row>
    <row r="87" spans="1:48" x14ac:dyDescent="0.35">
      <c r="A87" t="s">
        <v>902</v>
      </c>
      <c r="B87" t="s">
        <v>377</v>
      </c>
      <c r="C87" t="s">
        <v>903</v>
      </c>
      <c r="D87" t="s">
        <v>902</v>
      </c>
      <c r="E87" t="s">
        <v>904</v>
      </c>
      <c r="F87" t="s">
        <v>905</v>
      </c>
      <c r="G87" t="s">
        <v>49</v>
      </c>
      <c r="H87" t="s">
        <v>381</v>
      </c>
      <c r="I87" t="str">
        <f>HYPERLINK("https://www.ncbi.nlm.nih.gov/gene/110490141", "https://www.ncbi.nlm.nih.gov/gene/110490141")</f>
        <v>https://www.ncbi.nlm.nih.gov/gene/110490141</v>
      </c>
      <c r="J87" t="s">
        <v>906</v>
      </c>
      <c r="K87" t="s">
        <v>55</v>
      </c>
      <c r="L87" t="s">
        <v>49</v>
      </c>
      <c r="M87" t="s">
        <v>56</v>
      </c>
      <c r="N87">
        <v>0.99999999870553535</v>
      </c>
      <c r="O87">
        <v>3.0405518897444073</v>
      </c>
      <c r="P87">
        <v>6.5215787618054737</v>
      </c>
      <c r="Q87">
        <v>54.237677279286487</v>
      </c>
      <c r="R87">
        <v>1.7343010826586336</v>
      </c>
      <c r="S87">
        <v>0.46622942094203007</v>
      </c>
      <c r="T87">
        <v>13.024659069340114</v>
      </c>
      <c r="U87">
        <v>8.2442947277258476</v>
      </c>
      <c r="V87">
        <v>1.3285886762441399</v>
      </c>
      <c r="W87">
        <v>44.945760254610924</v>
      </c>
      <c r="X87">
        <v>0.15540980698067669</v>
      </c>
      <c r="Y87">
        <v>150</v>
      </c>
      <c r="Z87" t="s">
        <v>57</v>
      </c>
      <c r="AA87" t="s">
        <v>383</v>
      </c>
      <c r="AB87" t="s">
        <v>383</v>
      </c>
      <c r="AC87" t="s">
        <v>384</v>
      </c>
      <c r="AD87" t="s">
        <v>60</v>
      </c>
      <c r="AE87" t="s">
        <v>61</v>
      </c>
      <c r="AF87">
        <v>20</v>
      </c>
      <c r="AG87" t="s">
        <v>62</v>
      </c>
      <c r="AH87" t="s">
        <v>63</v>
      </c>
      <c r="AI87" t="s">
        <v>371</v>
      </c>
      <c r="AJ87" t="s">
        <v>65</v>
      </c>
      <c r="AK87" t="s">
        <v>907</v>
      </c>
      <c r="AL87" t="s">
        <v>908</v>
      </c>
      <c r="AM87">
        <v>1000</v>
      </c>
      <c r="AN87" t="s">
        <v>155</v>
      </c>
      <c r="AO87" t="s">
        <v>156</v>
      </c>
      <c r="AP87" t="s">
        <v>387</v>
      </c>
      <c r="AQ87" t="s">
        <v>158</v>
      </c>
      <c r="AR87" t="s">
        <v>72</v>
      </c>
      <c r="AS87" t="s">
        <v>388</v>
      </c>
      <c r="AT87" t="s">
        <v>74</v>
      </c>
      <c r="AU87" t="s">
        <v>389</v>
      </c>
      <c r="AV87" t="s">
        <v>76</v>
      </c>
    </row>
    <row r="88" spans="1:48" x14ac:dyDescent="0.35">
      <c r="A88" t="s">
        <v>909</v>
      </c>
      <c r="B88" t="s">
        <v>49</v>
      </c>
      <c r="C88" t="s">
        <v>910</v>
      </c>
      <c r="D88" t="s">
        <v>909</v>
      </c>
      <c r="E88" t="s">
        <v>911</v>
      </c>
      <c r="F88" t="s">
        <v>912</v>
      </c>
      <c r="G88" t="s">
        <v>282</v>
      </c>
      <c r="H88" t="s">
        <v>283</v>
      </c>
      <c r="I88" t="str">
        <f>HYPERLINK("https://www.ncbi.nlm.nih.gov/gene/5468", "https://www.ncbi.nlm.nih.gov/gene/5468")</f>
        <v>https://www.ncbi.nlm.nih.gov/gene/5468</v>
      </c>
      <c r="J88" t="s">
        <v>284</v>
      </c>
      <c r="K88" t="s">
        <v>55</v>
      </c>
      <c r="L88" t="s">
        <v>49</v>
      </c>
      <c r="M88" t="s">
        <v>56</v>
      </c>
      <c r="N88">
        <v>0.99999999584042454</v>
      </c>
      <c r="O88">
        <v>4.1377970699877284</v>
      </c>
      <c r="P88">
        <v>3.6008910602002286</v>
      </c>
      <c r="Q88">
        <v>94.515302034585488</v>
      </c>
      <c r="R88">
        <v>1.9755021265113015</v>
      </c>
      <c r="S88">
        <v>1.1491036526269265</v>
      </c>
      <c r="T88">
        <v>48.477996924619582</v>
      </c>
      <c r="U88">
        <v>16.57729723566996</v>
      </c>
      <c r="V88">
        <v>0.44857740106492783</v>
      </c>
      <c r="W88">
        <v>18.012201983656535</v>
      </c>
      <c r="X88">
        <v>0.22982073052538529</v>
      </c>
      <c r="Y88">
        <v>300</v>
      </c>
      <c r="Z88" t="s">
        <v>57</v>
      </c>
      <c r="AA88" t="s">
        <v>383</v>
      </c>
      <c r="AB88" t="s">
        <v>383</v>
      </c>
      <c r="AC88" t="s">
        <v>384</v>
      </c>
      <c r="AD88" t="s">
        <v>60</v>
      </c>
      <c r="AE88" t="s">
        <v>61</v>
      </c>
      <c r="AF88">
        <v>20</v>
      </c>
      <c r="AG88" t="s">
        <v>62</v>
      </c>
      <c r="AH88" t="s">
        <v>63</v>
      </c>
      <c r="AI88" t="s">
        <v>371</v>
      </c>
      <c r="AJ88" t="s">
        <v>65</v>
      </c>
      <c r="AK88" t="s">
        <v>913</v>
      </c>
      <c r="AL88" t="s">
        <v>914</v>
      </c>
      <c r="AM88">
        <v>1000</v>
      </c>
      <c r="AN88" t="s">
        <v>155</v>
      </c>
      <c r="AO88" t="s">
        <v>156</v>
      </c>
      <c r="AP88" t="s">
        <v>387</v>
      </c>
      <c r="AQ88" t="s">
        <v>158</v>
      </c>
      <c r="AR88" t="s">
        <v>72</v>
      </c>
      <c r="AS88" t="s">
        <v>388</v>
      </c>
      <c r="AT88" t="s">
        <v>74</v>
      </c>
      <c r="AU88">
        <v>1475794</v>
      </c>
      <c r="AV88" t="s">
        <v>76</v>
      </c>
    </row>
    <row r="89" spans="1:48" x14ac:dyDescent="0.35">
      <c r="A89" t="s">
        <v>915</v>
      </c>
      <c r="B89" t="s">
        <v>813</v>
      </c>
      <c r="C89" t="s">
        <v>916</v>
      </c>
      <c r="D89" t="s">
        <v>915</v>
      </c>
      <c r="E89" t="s">
        <v>917</v>
      </c>
      <c r="F89" t="s">
        <v>918</v>
      </c>
      <c r="G89" t="s">
        <v>646</v>
      </c>
      <c r="H89" t="s">
        <v>410</v>
      </c>
      <c r="I89" t="str">
        <f>HYPERLINK("https://www.ncbi.nlm.nih.gov/gene/2099", "https://www.ncbi.nlm.nih.gov/gene/2099")</f>
        <v>https://www.ncbi.nlm.nih.gov/gene/2099</v>
      </c>
      <c r="J89" t="s">
        <v>411</v>
      </c>
      <c r="K89" t="s">
        <v>55</v>
      </c>
      <c r="L89" t="s">
        <v>49</v>
      </c>
      <c r="M89" t="s">
        <v>56</v>
      </c>
      <c r="N89">
        <v>0.99998995556856674</v>
      </c>
      <c r="O89">
        <v>-62.455719255195106</v>
      </c>
      <c r="P89">
        <v>-3.1227859627597554</v>
      </c>
      <c r="Q89">
        <v>29.517542761047576</v>
      </c>
      <c r="R89">
        <v>1.4700802010596918</v>
      </c>
      <c r="S89">
        <v>20</v>
      </c>
      <c r="T89">
        <v>16.00689700743164</v>
      </c>
      <c r="U89">
        <v>3.2367014889098722</v>
      </c>
      <c r="V89">
        <v>9.0620109129015773</v>
      </c>
      <c r="W89">
        <v>5.3965824643676434</v>
      </c>
      <c r="X89">
        <v>3.3294568553357999</v>
      </c>
      <c r="Y89">
        <v>0.27360562042145598</v>
      </c>
      <c r="Z89" t="s">
        <v>57</v>
      </c>
      <c r="AA89" t="s">
        <v>114</v>
      </c>
      <c r="AB89" t="s">
        <v>114</v>
      </c>
      <c r="AC89" t="s">
        <v>115</v>
      </c>
      <c r="AD89" t="s">
        <v>116</v>
      </c>
      <c r="AE89" t="s">
        <v>61</v>
      </c>
      <c r="AF89">
        <v>20</v>
      </c>
      <c r="AG89" t="s">
        <v>62</v>
      </c>
      <c r="AH89" t="s">
        <v>63</v>
      </c>
      <c r="AI89" t="s">
        <v>118</v>
      </c>
      <c r="AJ89" t="s">
        <v>65</v>
      </c>
      <c r="AK89" t="s">
        <v>919</v>
      </c>
      <c r="AL89" t="s">
        <v>920</v>
      </c>
      <c r="AM89">
        <v>1000</v>
      </c>
      <c r="AN89" t="s">
        <v>155</v>
      </c>
      <c r="AO89" t="s">
        <v>156</v>
      </c>
      <c r="AP89" t="s">
        <v>157</v>
      </c>
      <c r="AQ89" t="s">
        <v>414</v>
      </c>
      <c r="AR89" t="s">
        <v>72</v>
      </c>
      <c r="AS89" t="s">
        <v>124</v>
      </c>
      <c r="AT89" t="s">
        <v>125</v>
      </c>
      <c r="AU89" t="s">
        <v>126</v>
      </c>
      <c r="AV89" t="s">
        <v>76</v>
      </c>
    </row>
    <row r="90" spans="1:48" x14ac:dyDescent="0.35">
      <c r="A90" t="s">
        <v>921</v>
      </c>
      <c r="B90" t="s">
        <v>49</v>
      </c>
      <c r="C90" t="s">
        <v>922</v>
      </c>
      <c r="D90" t="s">
        <v>921</v>
      </c>
      <c r="E90" t="s">
        <v>923</v>
      </c>
      <c r="F90" t="s">
        <v>924</v>
      </c>
      <c r="G90" t="s">
        <v>925</v>
      </c>
      <c r="H90" t="s">
        <v>926</v>
      </c>
      <c r="I90" t="str">
        <f>HYPERLINK("https://www.ncbi.nlm.nih.gov/gene/6347", "https://www.ncbi.nlm.nih.gov/gene/6347")</f>
        <v>https://www.ncbi.nlm.nih.gov/gene/6347</v>
      </c>
      <c r="J90" t="s">
        <v>927</v>
      </c>
      <c r="K90" t="s">
        <v>55</v>
      </c>
      <c r="L90" t="s">
        <v>49</v>
      </c>
      <c r="M90" t="s">
        <v>56</v>
      </c>
      <c r="N90">
        <v>0.93643825066561071</v>
      </c>
      <c r="O90">
        <v>-0.11069297441519596</v>
      </c>
      <c r="P90">
        <v>-1.1421459727047159</v>
      </c>
      <c r="Q90">
        <v>50.071051228597028</v>
      </c>
      <c r="R90">
        <v>1.6995867093934443</v>
      </c>
      <c r="S90">
        <v>9.6916661320499975E-2</v>
      </c>
      <c r="T90">
        <v>57.758801283818919</v>
      </c>
      <c r="U90">
        <v>39.037413659529314</v>
      </c>
      <c r="V90">
        <v>6.0784526662081277E-2</v>
      </c>
      <c r="W90">
        <v>51.176994996866199</v>
      </c>
      <c r="X90">
        <v>3.2305553773499994E-2</v>
      </c>
      <c r="Y90">
        <v>20</v>
      </c>
      <c r="Z90" t="s">
        <v>57</v>
      </c>
      <c r="AA90" t="s">
        <v>430</v>
      </c>
      <c r="AB90" t="s">
        <v>430</v>
      </c>
      <c r="AC90" t="s">
        <v>431</v>
      </c>
      <c r="AD90" t="s">
        <v>432</v>
      </c>
      <c r="AE90" t="s">
        <v>928</v>
      </c>
      <c r="AF90">
        <v>20</v>
      </c>
      <c r="AG90" t="s">
        <v>62</v>
      </c>
      <c r="AH90" t="s">
        <v>63</v>
      </c>
      <c r="AI90" t="s">
        <v>535</v>
      </c>
      <c r="AJ90" t="s">
        <v>401</v>
      </c>
      <c r="AK90" t="s">
        <v>929</v>
      </c>
      <c r="AL90" t="s">
        <v>930</v>
      </c>
      <c r="AM90">
        <v>1000</v>
      </c>
      <c r="AN90" t="s">
        <v>489</v>
      </c>
      <c r="AO90" t="s">
        <v>156</v>
      </c>
      <c r="AP90" t="s">
        <v>172</v>
      </c>
      <c r="AQ90" t="s">
        <v>931</v>
      </c>
      <c r="AR90" t="s">
        <v>438</v>
      </c>
      <c r="AS90" t="s">
        <v>439</v>
      </c>
      <c r="AT90" t="s">
        <v>491</v>
      </c>
      <c r="AU90" t="s">
        <v>517</v>
      </c>
      <c r="AV90" t="s">
        <v>76</v>
      </c>
    </row>
    <row r="91" spans="1:48" x14ac:dyDescent="0.35">
      <c r="A91" t="s">
        <v>932</v>
      </c>
      <c r="B91" t="s">
        <v>813</v>
      </c>
      <c r="C91" t="s">
        <v>933</v>
      </c>
      <c r="D91" t="s">
        <v>932</v>
      </c>
      <c r="E91" t="s">
        <v>934</v>
      </c>
      <c r="F91" t="s">
        <v>935</v>
      </c>
      <c r="G91" t="s">
        <v>646</v>
      </c>
      <c r="H91" t="s">
        <v>410</v>
      </c>
      <c r="I91" t="str">
        <f>HYPERLINK("https://www.ncbi.nlm.nih.gov/gene/2099", "https://www.ncbi.nlm.nih.gov/gene/2099")</f>
        <v>https://www.ncbi.nlm.nih.gov/gene/2099</v>
      </c>
      <c r="J91" t="s">
        <v>411</v>
      </c>
      <c r="K91" t="s">
        <v>55</v>
      </c>
      <c r="L91" t="s">
        <v>49</v>
      </c>
      <c r="M91" t="s">
        <v>56</v>
      </c>
      <c r="N91">
        <v>0.99999999996357203</v>
      </c>
      <c r="O91">
        <v>2.3284239523028605</v>
      </c>
      <c r="P91">
        <v>4.5935327629774507</v>
      </c>
      <c r="Q91">
        <v>7.967818182859749</v>
      </c>
      <c r="R91">
        <v>0.90133941539033657</v>
      </c>
      <c r="S91">
        <v>0.50689176989642615</v>
      </c>
      <c r="T91">
        <v>5.8130069409311718</v>
      </c>
      <c r="U91">
        <v>4.6356895853900513</v>
      </c>
      <c r="V91">
        <v>0.60003412694207503</v>
      </c>
      <c r="W91">
        <v>6.1387372150337631</v>
      </c>
      <c r="X91">
        <v>0.10137835397928524</v>
      </c>
      <c r="Y91">
        <v>300</v>
      </c>
      <c r="Z91" t="s">
        <v>57</v>
      </c>
      <c r="AA91" t="s">
        <v>383</v>
      </c>
      <c r="AB91" t="s">
        <v>383</v>
      </c>
      <c r="AC91" t="s">
        <v>384</v>
      </c>
      <c r="AD91" t="s">
        <v>60</v>
      </c>
      <c r="AE91" t="s">
        <v>61</v>
      </c>
      <c r="AF91">
        <v>20</v>
      </c>
      <c r="AG91" t="s">
        <v>62</v>
      </c>
      <c r="AH91" t="s">
        <v>63</v>
      </c>
      <c r="AI91" t="s">
        <v>371</v>
      </c>
      <c r="AJ91" t="s">
        <v>65</v>
      </c>
      <c r="AK91" t="s">
        <v>936</v>
      </c>
      <c r="AL91" t="s">
        <v>937</v>
      </c>
      <c r="AM91">
        <v>1000</v>
      </c>
      <c r="AN91" t="s">
        <v>155</v>
      </c>
      <c r="AO91" t="s">
        <v>156</v>
      </c>
      <c r="AP91" t="s">
        <v>387</v>
      </c>
      <c r="AQ91" t="s">
        <v>414</v>
      </c>
      <c r="AR91" t="s">
        <v>72</v>
      </c>
      <c r="AS91" t="s">
        <v>388</v>
      </c>
      <c r="AT91" t="s">
        <v>74</v>
      </c>
      <c r="AU91">
        <v>1475794</v>
      </c>
      <c r="AV91" t="s">
        <v>76</v>
      </c>
    </row>
    <row r="92" spans="1:48" x14ac:dyDescent="0.35">
      <c r="A92" t="s">
        <v>938</v>
      </c>
      <c r="B92" t="s">
        <v>49</v>
      </c>
      <c r="C92" t="s">
        <v>939</v>
      </c>
      <c r="D92" t="s">
        <v>938</v>
      </c>
      <c r="E92" t="s">
        <v>940</v>
      </c>
      <c r="F92" t="s">
        <v>941</v>
      </c>
      <c r="G92" t="s">
        <v>942</v>
      </c>
      <c r="H92" t="s">
        <v>943</v>
      </c>
      <c r="I92" t="str">
        <f>HYPERLINK("https://www.ncbi.nlm.nih.gov/gene/8856", "https://www.ncbi.nlm.nih.gov/gene/8856")</f>
        <v>https://www.ncbi.nlm.nih.gov/gene/8856</v>
      </c>
      <c r="J92" t="s">
        <v>944</v>
      </c>
      <c r="K92" t="s">
        <v>55</v>
      </c>
      <c r="L92" t="s">
        <v>49</v>
      </c>
      <c r="M92" t="s">
        <v>56</v>
      </c>
      <c r="N92">
        <v>0.99999475470459409</v>
      </c>
      <c r="O92">
        <v>1.5097481044617194</v>
      </c>
      <c r="P92">
        <v>2.2370959354387567</v>
      </c>
      <c r="Q92">
        <v>41.007642357777648</v>
      </c>
      <c r="R92">
        <v>1.6128648012201685</v>
      </c>
      <c r="S92">
        <v>0.67486962921222049</v>
      </c>
      <c r="T92">
        <v>36.123627959900034</v>
      </c>
      <c r="U92">
        <v>7.4401373162098601</v>
      </c>
      <c r="V92">
        <v>0.58514656244959129</v>
      </c>
      <c r="W92">
        <v>30.830854593149237</v>
      </c>
      <c r="X92">
        <v>0.13497392584244411</v>
      </c>
      <c r="Y92">
        <v>100</v>
      </c>
      <c r="Z92" t="s">
        <v>57</v>
      </c>
      <c r="AA92" t="s">
        <v>383</v>
      </c>
      <c r="AB92" t="s">
        <v>383</v>
      </c>
      <c r="AC92" t="s">
        <v>384</v>
      </c>
      <c r="AD92" t="s">
        <v>60</v>
      </c>
      <c r="AE92" t="s">
        <v>61</v>
      </c>
      <c r="AF92">
        <v>20</v>
      </c>
      <c r="AG92" t="s">
        <v>62</v>
      </c>
      <c r="AH92" t="s">
        <v>63</v>
      </c>
      <c r="AI92" t="s">
        <v>371</v>
      </c>
      <c r="AJ92" t="s">
        <v>65</v>
      </c>
      <c r="AK92" t="s">
        <v>945</v>
      </c>
      <c r="AL92" t="s">
        <v>946</v>
      </c>
      <c r="AM92">
        <v>1000</v>
      </c>
      <c r="AN92" t="s">
        <v>155</v>
      </c>
      <c r="AO92" t="s">
        <v>156</v>
      </c>
      <c r="AP92" t="s">
        <v>387</v>
      </c>
      <c r="AQ92" t="s">
        <v>158</v>
      </c>
      <c r="AR92" t="s">
        <v>72</v>
      </c>
      <c r="AS92" t="s">
        <v>388</v>
      </c>
      <c r="AT92" t="s">
        <v>74</v>
      </c>
      <c r="AU92">
        <v>1475794</v>
      </c>
      <c r="AV92" t="s">
        <v>76</v>
      </c>
    </row>
    <row r="93" spans="1:48" x14ac:dyDescent="0.35">
      <c r="A93" t="s">
        <v>947</v>
      </c>
      <c r="B93" t="s">
        <v>493</v>
      </c>
      <c r="C93" t="s">
        <v>948</v>
      </c>
      <c r="D93" t="s">
        <v>947</v>
      </c>
      <c r="E93" t="s">
        <v>949</v>
      </c>
      <c r="F93" t="s">
        <v>950</v>
      </c>
      <c r="G93" t="s">
        <v>49</v>
      </c>
      <c r="H93" t="s">
        <v>49</v>
      </c>
      <c r="I93" t="s">
        <v>49</v>
      </c>
      <c r="J93" t="s">
        <v>49</v>
      </c>
      <c r="K93" t="s">
        <v>55</v>
      </c>
      <c r="L93" t="s">
        <v>49</v>
      </c>
      <c r="M93" t="s">
        <v>56</v>
      </c>
      <c r="N93">
        <v>0.99536345386439851</v>
      </c>
      <c r="O93">
        <v>-49.31733785687112</v>
      </c>
      <c r="P93">
        <v>-1.6439112618957039</v>
      </c>
      <c r="Q93">
        <v>14.060079459688655</v>
      </c>
      <c r="R93">
        <v>1.1479877750797371</v>
      </c>
      <c r="S93">
        <v>30</v>
      </c>
      <c r="T93">
        <v>17.632493733560398</v>
      </c>
      <c r="U93">
        <v>2.5653772480296753</v>
      </c>
      <c r="V93">
        <v>22.657005376439699</v>
      </c>
      <c r="W93">
        <v>12.782130088636398</v>
      </c>
      <c r="X93">
        <v>8.8249999999999993</v>
      </c>
      <c r="Y93">
        <v>0.3</v>
      </c>
      <c r="Z93" t="s">
        <v>57</v>
      </c>
      <c r="AA93" t="s">
        <v>542</v>
      </c>
      <c r="AB93" t="s">
        <v>542</v>
      </c>
      <c r="AC93" t="s">
        <v>543</v>
      </c>
      <c r="AD93" t="s">
        <v>544</v>
      </c>
      <c r="AE93" t="s">
        <v>117</v>
      </c>
      <c r="AF93">
        <v>20</v>
      </c>
      <c r="AG93" t="s">
        <v>62</v>
      </c>
      <c r="AH93" t="s">
        <v>185</v>
      </c>
      <c r="AI93" t="s">
        <v>545</v>
      </c>
      <c r="AJ93" t="s">
        <v>401</v>
      </c>
      <c r="AK93" t="s">
        <v>951</v>
      </c>
      <c r="AL93" t="s">
        <v>952</v>
      </c>
      <c r="AM93">
        <v>1000</v>
      </c>
      <c r="AN93" t="s">
        <v>548</v>
      </c>
      <c r="AO93" t="s">
        <v>549</v>
      </c>
      <c r="AP93" t="s">
        <v>550</v>
      </c>
      <c r="AQ93" t="s">
        <v>551</v>
      </c>
      <c r="AR93" t="s">
        <v>552</v>
      </c>
      <c r="AS93" t="s">
        <v>553</v>
      </c>
      <c r="AT93" t="s">
        <v>554</v>
      </c>
      <c r="AU93" t="s">
        <v>555</v>
      </c>
      <c r="AV93" t="s">
        <v>76</v>
      </c>
    </row>
    <row r="94" spans="1:48" x14ac:dyDescent="0.35">
      <c r="A94" t="s">
        <v>953</v>
      </c>
      <c r="B94" t="s">
        <v>493</v>
      </c>
      <c r="C94" t="s">
        <v>954</v>
      </c>
      <c r="D94" t="s">
        <v>953</v>
      </c>
      <c r="E94" t="s">
        <v>955</v>
      </c>
      <c r="F94" t="s">
        <v>956</v>
      </c>
      <c r="G94" t="s">
        <v>49</v>
      </c>
      <c r="H94" t="s">
        <v>49</v>
      </c>
      <c r="I94" t="s">
        <v>49</v>
      </c>
      <c r="J94" t="s">
        <v>49</v>
      </c>
      <c r="K94" t="s">
        <v>55</v>
      </c>
      <c r="L94" t="s">
        <v>49</v>
      </c>
      <c r="M94" t="s">
        <v>56</v>
      </c>
      <c r="N94">
        <v>0.99905972232595397</v>
      </c>
      <c r="O94">
        <v>-99.996412267605066</v>
      </c>
      <c r="P94">
        <v>-3.9998564907042025</v>
      </c>
      <c r="Q94">
        <v>78.106127699596982</v>
      </c>
      <c r="R94">
        <v>1.8926851071388591</v>
      </c>
      <c r="S94">
        <v>25</v>
      </c>
      <c r="T94">
        <v>63.218715050793939</v>
      </c>
      <c r="U94">
        <v>51.07088595735128</v>
      </c>
      <c r="V94">
        <v>16.802826789863325</v>
      </c>
      <c r="W94">
        <v>57.071312638726042</v>
      </c>
      <c r="X94">
        <v>8.4693555197096853</v>
      </c>
      <c r="Y94">
        <v>0.41152263374485604</v>
      </c>
      <c r="Z94" t="s">
        <v>57</v>
      </c>
      <c r="AA94" t="s">
        <v>497</v>
      </c>
      <c r="AB94" t="s">
        <v>497</v>
      </c>
      <c r="AC94" t="s">
        <v>498</v>
      </c>
      <c r="AD94" t="s">
        <v>711</v>
      </c>
      <c r="AE94" t="s">
        <v>61</v>
      </c>
      <c r="AF94">
        <v>20</v>
      </c>
      <c r="AG94" t="s">
        <v>62</v>
      </c>
      <c r="AH94" t="s">
        <v>63</v>
      </c>
      <c r="AI94" t="s">
        <v>871</v>
      </c>
      <c r="AJ94" t="s">
        <v>65</v>
      </c>
      <c r="AK94" t="s">
        <v>957</v>
      </c>
      <c r="AL94" t="s">
        <v>958</v>
      </c>
      <c r="AM94">
        <v>1000</v>
      </c>
      <c r="AN94" t="s">
        <v>548</v>
      </c>
      <c r="AO94" t="s">
        <v>136</v>
      </c>
      <c r="AP94" t="s">
        <v>136</v>
      </c>
      <c r="AQ94" t="s">
        <v>736</v>
      </c>
      <c r="AR94" t="s">
        <v>548</v>
      </c>
      <c r="AS94" t="s">
        <v>503</v>
      </c>
      <c r="AT94" t="s">
        <v>874</v>
      </c>
      <c r="AU94" t="s">
        <v>505</v>
      </c>
      <c r="AV94" t="s">
        <v>76</v>
      </c>
    </row>
    <row r="95" spans="1:48" x14ac:dyDescent="0.35">
      <c r="A95" t="s">
        <v>959</v>
      </c>
      <c r="B95" t="s">
        <v>377</v>
      </c>
      <c r="C95" t="s">
        <v>903</v>
      </c>
      <c r="D95" t="s">
        <v>959</v>
      </c>
      <c r="E95" t="s">
        <v>960</v>
      </c>
      <c r="F95" t="s">
        <v>961</v>
      </c>
      <c r="G95" t="s">
        <v>49</v>
      </c>
      <c r="H95" t="s">
        <v>962</v>
      </c>
      <c r="I95" t="str">
        <f>HYPERLINK("https://www.ncbi.nlm.nih.gov/gene/398843", "https://www.ncbi.nlm.nih.gov/gene/398843")</f>
        <v>https://www.ncbi.nlm.nih.gov/gene/398843</v>
      </c>
      <c r="J95" t="s">
        <v>963</v>
      </c>
      <c r="K95" t="s">
        <v>55</v>
      </c>
      <c r="L95" t="s">
        <v>49</v>
      </c>
      <c r="M95" t="s">
        <v>56</v>
      </c>
      <c r="N95">
        <v>0.99382909060689073</v>
      </c>
      <c r="O95">
        <v>1.5746396665812812</v>
      </c>
      <c r="P95">
        <v>1.9614119254362465</v>
      </c>
      <c r="Q95">
        <v>75</v>
      </c>
      <c r="R95">
        <v>1.8750612633917001</v>
      </c>
      <c r="S95">
        <v>0.80280926518332374</v>
      </c>
      <c r="T95">
        <v>76.475521564210851</v>
      </c>
      <c r="U95">
        <v>15</v>
      </c>
      <c r="V95">
        <v>1.3255070511859468</v>
      </c>
      <c r="W95">
        <v>126.26765468798689</v>
      </c>
      <c r="X95">
        <v>0.26760308839444125</v>
      </c>
      <c r="Y95">
        <v>150</v>
      </c>
      <c r="Z95" t="s">
        <v>57</v>
      </c>
      <c r="AA95" t="s">
        <v>383</v>
      </c>
      <c r="AB95" t="s">
        <v>383</v>
      </c>
      <c r="AC95" t="s">
        <v>384</v>
      </c>
      <c r="AD95" t="s">
        <v>60</v>
      </c>
      <c r="AE95" t="s">
        <v>964</v>
      </c>
      <c r="AF95">
        <v>20</v>
      </c>
      <c r="AG95" t="s">
        <v>62</v>
      </c>
      <c r="AH95" t="s">
        <v>63</v>
      </c>
      <c r="AI95" t="s">
        <v>371</v>
      </c>
      <c r="AJ95" t="s">
        <v>65</v>
      </c>
      <c r="AK95" t="s">
        <v>785</v>
      </c>
      <c r="AL95" t="s">
        <v>965</v>
      </c>
      <c r="AM95">
        <v>1000</v>
      </c>
      <c r="AN95" t="s">
        <v>155</v>
      </c>
      <c r="AO95" t="s">
        <v>156</v>
      </c>
      <c r="AP95" t="s">
        <v>387</v>
      </c>
      <c r="AQ95" t="s">
        <v>158</v>
      </c>
      <c r="AR95" t="s">
        <v>72</v>
      </c>
      <c r="AS95" t="s">
        <v>388</v>
      </c>
      <c r="AT95" t="s">
        <v>74</v>
      </c>
      <c r="AU95" t="s">
        <v>389</v>
      </c>
      <c r="AV95" t="s">
        <v>76</v>
      </c>
    </row>
    <row r="96" spans="1:48" x14ac:dyDescent="0.35">
      <c r="A96" t="s">
        <v>966</v>
      </c>
      <c r="B96" t="s">
        <v>49</v>
      </c>
      <c r="C96" t="s">
        <v>967</v>
      </c>
      <c r="D96" t="s">
        <v>966</v>
      </c>
      <c r="E96" t="s">
        <v>968</v>
      </c>
      <c r="F96" t="s">
        <v>969</v>
      </c>
      <c r="G96" t="s">
        <v>765</v>
      </c>
      <c r="H96" t="s">
        <v>766</v>
      </c>
      <c r="I96" t="str">
        <f>HYPERLINK("https://www.ncbi.nlm.nih.gov/gene/4780", "https://www.ncbi.nlm.nih.gov/gene/4780")</f>
        <v>https://www.ncbi.nlm.nih.gov/gene/4780</v>
      </c>
      <c r="J96" t="s">
        <v>767</v>
      </c>
      <c r="K96" t="s">
        <v>55</v>
      </c>
      <c r="L96" t="s">
        <v>49</v>
      </c>
      <c r="M96" t="s">
        <v>56</v>
      </c>
      <c r="N96">
        <v>0.9999993264851772</v>
      </c>
      <c r="O96">
        <v>2.2121247297491347</v>
      </c>
      <c r="P96">
        <v>2.8362756262603521</v>
      </c>
      <c r="Q96">
        <v>84.734131754896936</v>
      </c>
      <c r="R96">
        <v>1.9280583837301795</v>
      </c>
      <c r="S96">
        <v>0.77993997101961332</v>
      </c>
      <c r="T96">
        <v>64.863378513812293</v>
      </c>
      <c r="U96">
        <v>28.79696572800405</v>
      </c>
      <c r="V96">
        <v>0.30046399420317604</v>
      </c>
      <c r="W96">
        <v>34.711968652190983</v>
      </c>
      <c r="X96">
        <v>0.15598799420392268</v>
      </c>
      <c r="Y96">
        <v>300</v>
      </c>
      <c r="Z96" t="s">
        <v>57</v>
      </c>
      <c r="AA96" t="s">
        <v>383</v>
      </c>
      <c r="AB96" t="s">
        <v>383</v>
      </c>
      <c r="AC96" t="s">
        <v>384</v>
      </c>
      <c r="AD96" t="s">
        <v>60</v>
      </c>
      <c r="AE96" t="s">
        <v>61</v>
      </c>
      <c r="AF96">
        <v>20</v>
      </c>
      <c r="AG96" t="s">
        <v>62</v>
      </c>
      <c r="AH96" t="s">
        <v>63</v>
      </c>
      <c r="AI96" t="s">
        <v>371</v>
      </c>
      <c r="AJ96" t="s">
        <v>65</v>
      </c>
      <c r="AK96" t="s">
        <v>970</v>
      </c>
      <c r="AL96" t="s">
        <v>971</v>
      </c>
      <c r="AM96">
        <v>1000</v>
      </c>
      <c r="AN96" t="s">
        <v>106</v>
      </c>
      <c r="AO96" t="s">
        <v>156</v>
      </c>
      <c r="AP96" t="s">
        <v>387</v>
      </c>
      <c r="AQ96" t="s">
        <v>107</v>
      </c>
      <c r="AR96" t="s">
        <v>72</v>
      </c>
      <c r="AS96" t="s">
        <v>388</v>
      </c>
      <c r="AT96" t="s">
        <v>74</v>
      </c>
      <c r="AU96">
        <v>1475794</v>
      </c>
      <c r="AV96" t="s">
        <v>76</v>
      </c>
    </row>
    <row r="97" spans="1:48" x14ac:dyDescent="0.35">
      <c r="A97" t="s">
        <v>972</v>
      </c>
      <c r="B97" t="s">
        <v>49</v>
      </c>
      <c r="C97" t="s">
        <v>973</v>
      </c>
      <c r="D97" t="s">
        <v>972</v>
      </c>
      <c r="E97" t="s">
        <v>974</v>
      </c>
      <c r="F97" t="s">
        <v>975</v>
      </c>
      <c r="G97" t="s">
        <v>52</v>
      </c>
      <c r="H97" t="s">
        <v>53</v>
      </c>
      <c r="I97" t="str">
        <f>HYPERLINK("https://www.ncbi.nlm.nih.gov/gene/3158", "https://www.ncbi.nlm.nih.gov/gene/3158")</f>
        <v>https://www.ncbi.nlm.nih.gov/gene/3158</v>
      </c>
      <c r="J97" t="s">
        <v>54</v>
      </c>
      <c r="K97" t="s">
        <v>55</v>
      </c>
      <c r="L97" t="s">
        <v>49</v>
      </c>
      <c r="M97" t="s">
        <v>56</v>
      </c>
      <c r="N97">
        <v>0.94434619974459566</v>
      </c>
      <c r="O97">
        <v>1.4607020867597811</v>
      </c>
      <c r="P97">
        <v>1.4607020867597811</v>
      </c>
      <c r="Q97">
        <v>35.51364198792588</v>
      </c>
      <c r="R97">
        <v>1.5503952122665197</v>
      </c>
      <c r="S97">
        <v>1</v>
      </c>
      <c r="T97">
        <v>37.274857075921737</v>
      </c>
      <c r="U97">
        <v>31.052806224351201</v>
      </c>
      <c r="V97">
        <v>0.81622300897641609</v>
      </c>
      <c r="W97">
        <v>36.090380861952887</v>
      </c>
      <c r="X97">
        <v>0.48440853571473985</v>
      </c>
      <c r="Y97">
        <v>40</v>
      </c>
      <c r="Z97" t="s">
        <v>57</v>
      </c>
      <c r="AA97" t="s">
        <v>397</v>
      </c>
      <c r="AB97" t="s">
        <v>397</v>
      </c>
      <c r="AC97" t="s">
        <v>398</v>
      </c>
      <c r="AD97" t="s">
        <v>60</v>
      </c>
      <c r="AE97" t="s">
        <v>964</v>
      </c>
      <c r="AF97">
        <v>20</v>
      </c>
      <c r="AG97" t="s">
        <v>62</v>
      </c>
      <c r="AH97" t="s">
        <v>63</v>
      </c>
      <c r="AI97" t="s">
        <v>400</v>
      </c>
      <c r="AJ97" t="s">
        <v>401</v>
      </c>
      <c r="AK97" t="s">
        <v>976</v>
      </c>
      <c r="AL97" t="s">
        <v>977</v>
      </c>
      <c r="AM97">
        <v>1000</v>
      </c>
      <c r="AN97" t="s">
        <v>68</v>
      </c>
      <c r="AO97" t="s">
        <v>69</v>
      </c>
      <c r="AP97" t="s">
        <v>70</v>
      </c>
      <c r="AQ97" t="s">
        <v>71</v>
      </c>
      <c r="AR97" t="s">
        <v>49</v>
      </c>
      <c r="AS97" t="s">
        <v>404</v>
      </c>
      <c r="AT97" t="s">
        <v>74</v>
      </c>
      <c r="AU97" t="s">
        <v>405</v>
      </c>
      <c r="AV97" t="s">
        <v>76</v>
      </c>
    </row>
    <row r="98" spans="1:48" x14ac:dyDescent="0.35">
      <c r="A98" t="s">
        <v>978</v>
      </c>
      <c r="B98" t="s">
        <v>377</v>
      </c>
      <c r="C98" t="s">
        <v>979</v>
      </c>
      <c r="D98" t="s">
        <v>978</v>
      </c>
      <c r="E98" t="s">
        <v>980</v>
      </c>
      <c r="F98" t="s">
        <v>981</v>
      </c>
      <c r="G98" t="s">
        <v>49</v>
      </c>
      <c r="H98" t="s">
        <v>982</v>
      </c>
      <c r="I98" t="str">
        <f>HYPERLINK("https://www.ncbi.nlm.nih.gov/gene/100304459", "https://www.ncbi.nlm.nih.gov/gene/100304459")</f>
        <v>https://www.ncbi.nlm.nih.gov/gene/100304459</v>
      </c>
      <c r="J98" t="s">
        <v>983</v>
      </c>
      <c r="K98" t="s">
        <v>55</v>
      </c>
      <c r="L98" t="s">
        <v>49</v>
      </c>
      <c r="M98" t="s">
        <v>56</v>
      </c>
      <c r="N98">
        <v>0.93867567213255765</v>
      </c>
      <c r="O98">
        <v>0.88892040915223236</v>
      </c>
      <c r="P98">
        <v>1.5704033531203503</v>
      </c>
      <c r="Q98">
        <v>75</v>
      </c>
      <c r="R98">
        <v>1.8750612633917001</v>
      </c>
      <c r="S98">
        <v>0.5660459189583178</v>
      </c>
      <c r="T98">
        <v>95.51686176799987</v>
      </c>
      <c r="U98">
        <v>15</v>
      </c>
      <c r="V98">
        <v>0.3144670255313553</v>
      </c>
      <c r="W98">
        <v>53.064428878047245</v>
      </c>
      <c r="X98">
        <v>0.18868197298610592</v>
      </c>
      <c r="Y98">
        <v>150</v>
      </c>
      <c r="Z98" t="s">
        <v>57</v>
      </c>
      <c r="AA98" t="s">
        <v>383</v>
      </c>
      <c r="AB98" t="s">
        <v>383</v>
      </c>
      <c r="AC98" t="s">
        <v>384</v>
      </c>
      <c r="AD98" t="s">
        <v>60</v>
      </c>
      <c r="AE98" t="s">
        <v>834</v>
      </c>
      <c r="AF98">
        <v>20</v>
      </c>
      <c r="AG98" t="s">
        <v>62</v>
      </c>
      <c r="AH98" t="s">
        <v>63</v>
      </c>
      <c r="AI98" t="s">
        <v>371</v>
      </c>
      <c r="AJ98" t="s">
        <v>65</v>
      </c>
      <c r="AK98" t="s">
        <v>702</v>
      </c>
      <c r="AL98" t="s">
        <v>984</v>
      </c>
      <c r="AM98">
        <v>1000</v>
      </c>
      <c r="AN98" t="s">
        <v>155</v>
      </c>
      <c r="AO98" t="s">
        <v>156</v>
      </c>
      <c r="AP98" t="s">
        <v>387</v>
      </c>
      <c r="AQ98" t="s">
        <v>158</v>
      </c>
      <c r="AR98" t="s">
        <v>72</v>
      </c>
      <c r="AS98" t="s">
        <v>388</v>
      </c>
      <c r="AT98" t="s">
        <v>74</v>
      </c>
      <c r="AU98" t="s">
        <v>389</v>
      </c>
      <c r="AV98" t="s">
        <v>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ag-grid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Workbook</dc:title>
  <dc:creator>AG Grid</dc:creator>
  <cp:lastModifiedBy>Markus Hohle</cp:lastModifiedBy>
  <dcterms:created xsi:type="dcterms:W3CDTF">2025-10-07T22:15:04Z</dcterms:created>
  <dcterms:modified xsi:type="dcterms:W3CDTF">2025-11-14T02:07:40Z</dcterms:modified>
</cp:coreProperties>
</file>